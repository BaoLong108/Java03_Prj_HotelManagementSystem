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cd21d70ec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3304d2aa2e8945c5"/>
    <x:sheet xmlns:r="http://schemas.openxmlformats.org/officeDocument/2006/relationships" name="Sprint 1" sheetId="2" r:id="Reb125dfde8f44a23"/>
    <x:sheet xmlns:r="http://schemas.openxmlformats.org/officeDocument/2006/relationships" name="Sprint 2" sheetId="3" r:id="Rb133b5884b264b59"/>
    <x:sheet xmlns:r="http://schemas.openxmlformats.org/officeDocument/2006/relationships" name="Sprint 3" sheetId="4" r:id="R77026ed6198049d1"/>
    <x:sheet xmlns:r="http://schemas.openxmlformats.org/officeDocument/2006/relationships" name="Sprint 4" sheetId="5" r:id="R982039c030e745d5"/>
    <x:sheet xmlns:r="http://schemas.openxmlformats.org/officeDocument/2006/relationships" name="Nhóm &amp; phạm vi" sheetId="6" r:id="R86c746b90c7f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6">
    <x:font>
      <x:sz val="11"/>
      <x:name val="Carlito"/>
    </x:font>
    <x:font>
      <x:sz val="10"/>
      <x:color rgb="FF20354A"/>
      <x:name val="Arial"/>
    </x:font>
    <x:font>
      <x:b/>
      <x:sz val="16"/>
      <x:color rgb="FF20354A"/>
      <x:name val="Arial"/>
    </x:font>
    <x:font>
      <x:b/>
      <x:sz val="10"/>
      <x:color rgb="FFFFFFFF"/>
      <x:name val="Arial"/>
    </x:font>
    <x:font>
      <x:b/>
      <x:sz val="10"/>
      <x:color rgb="FF20354A"/>
      <x:name val="Arial"/>
    </x:font>
    <x:font>
      <x:sz val="10"/>
      <x:color rgb="FF6679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8"/>
      </x:patternFill>
    </x:fill>
    <x:fill>
      <x:patternFill patternType="solid">
        <x:fgColor rgb="FF254F73"/>
      </x:patternFill>
    </x:fill>
    <x:fill>
      <x:patternFill patternType="solid">
        <x:fgColor rgb="FFF2F6FA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54F7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color rgb="FF376647"/>
      </x:font>
      <x:fill>
        <x:patternFill patternType="solid">
          <x:bgColor rgb="FFE9F2EC"/>
        </x:patternFill>
      </x:fill>
    </x:dxf>
    <x:dxf>
      <x:font>
        <x:b/>
        <x:color rgb="FFAC453A"/>
      </x:font>
      <x:fill>
        <x:patternFill patternType="solid">
          <x:bgColor rgb="FFF9E9E7"/>
        </x:patternFill>
      </x:fill>
    </x:dxf>
    <x:dxf>
      <x:font>
        <x:color rgb="FF8C6718"/>
      </x:font>
      <x:fill>
        <x:patternFill patternType="solid">
          <x:bgColor rgb="FFFFF0CE"/>
        </x:patternFill>
      </x:fill>
    </x:dxf>
    <x:dxf>
      <x:font>
        <x:b/>
        <x:color rgb="FF254F73"/>
      </x:font>
    </x:dxf>
    <x:dxf>
      <x:font>
        <x:color rgb="FF376647"/>
      </x:font>
      <x:fill>
        <x:patternFill patternType="solid">
          <x:bgColor rgb="FFE9F2EC"/>
        </x:patternFill>
      </x:fill>
    </x:dxf>
    <x:dxf>
      <x:font>
        <x:b/>
        <x:color rgb="FFAC453A"/>
      </x:font>
      <x:fill>
        <x:patternFill patternType="solid">
          <x:bgColor rgb="FFF9E9E7"/>
        </x:patternFill>
      </x:fill>
    </x:dxf>
    <x:dxf>
      <x:font>
        <x:color rgb="FF8C6718"/>
      </x:font>
      <x:fill>
        <x:patternFill patternType="solid">
          <x:bgColor rgb="FFFFF0CE"/>
        </x:patternFill>
      </x:fill>
    </x:dxf>
    <x:dxf>
      <x:font>
        <x:b/>
        <x:color rgb="FF254F73"/>
      </x:font>
    </x:dxf>
    <x:dxf>
      <x:font>
        <x:color rgb="FF376647"/>
      </x:font>
      <x:fill>
        <x:patternFill patternType="solid">
          <x:bgColor rgb="FFE9F2EC"/>
        </x:patternFill>
      </x:fill>
    </x:dxf>
    <x:dxf>
      <x:font>
        <x:b/>
        <x:color rgb="FFAC453A"/>
      </x:font>
      <x:fill>
        <x:patternFill patternType="solid">
          <x:bgColor rgb="FFF9E9E7"/>
        </x:patternFill>
      </x:fill>
    </x:dxf>
    <x:dxf>
      <x:font>
        <x:color rgb="FF8C6718"/>
      </x:font>
      <x:fill>
        <x:patternFill patternType="solid">
          <x:bgColor rgb="FFFFF0CE"/>
        </x:patternFill>
      </x:fill>
    </x:dxf>
    <x:dxf>
      <x:font>
        <x:b/>
        <x:color rgb="FF254F73"/>
      </x:font>
    </x:dxf>
    <x:dxf>
      <x:font>
        <x:color rgb="FF376647"/>
      </x:font>
      <x:fill>
        <x:patternFill patternType="solid">
          <x:bgColor rgb="FFE9F2EC"/>
        </x:patternFill>
      </x:fill>
    </x:dxf>
    <x:dxf>
      <x:font>
        <x:b/>
        <x:color rgb="FFAC453A"/>
      </x:font>
      <x:fill>
        <x:patternFill patternType="solid">
          <x:bgColor rgb="FFF9E9E7"/>
        </x:patternFill>
      </x:fill>
    </x:dxf>
    <x:dxf>
      <x:font>
        <x:color rgb="FF8C6718"/>
      </x:font>
      <x:fill>
        <x:patternFill patternType="solid">
          <x:bgColor rgb="FFFFF0CE"/>
        </x:patternFill>
      </x:fill>
    </x:dxf>
    <x:dxf>
      <x:font>
        <x:b/>
        <x:color rgb="FF254F7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50a265f0e41b2" /><Relationship Type="http://schemas.openxmlformats.org/officeDocument/2006/relationships/theme" Target="/xl/theme/theme1.xml" Id="R4c6fdd246fb4453d" /><Relationship Type="http://schemas.openxmlformats.org/officeDocument/2006/relationships/sharedStrings" Target="/xl/sharedStrings.xml" Id="Rade94182c2714a29" /><Relationship Type="http://schemas.openxmlformats.org/officeDocument/2006/relationships/worksheet" Target="/xl/worksheets/sheet1.xml" Id="R3304d2aa2e8945c5" /><Relationship Type="http://schemas.openxmlformats.org/officeDocument/2006/relationships/worksheet" Target="/xl/worksheets/sheet2.xml" Id="Reb125dfde8f44a23" /><Relationship Type="http://schemas.openxmlformats.org/officeDocument/2006/relationships/worksheet" Target="/xl/worksheets/sheet3.xml" Id="Rb133b5884b264b59" /><Relationship Type="http://schemas.openxmlformats.org/officeDocument/2006/relationships/worksheet" Target="/xl/worksheets/sheet4.xml" Id="R77026ed6198049d1" /><Relationship Type="http://schemas.openxmlformats.org/officeDocument/2006/relationships/worksheet" Target="/xl/worksheets/sheet5.xml" Id="R982039c030e745d5" /><Relationship Type="http://schemas.openxmlformats.org/officeDocument/2006/relationships/worksheet" Target="/xl/worksheets/sheet6.xml" Id="R86c746b90c7f4c48" /></Relationships>
</file>

<file path=xl/tables/table1.xml><?xml version="1.0" encoding="utf-8"?>
<x:table xmlns:x="http://schemas.openxmlformats.org/spreadsheetml/2006/main" id="1" name="TasksSprint1" displayName="TasksSprint1" ref="A10:L26" headerRowCount="1" totalsRowCount="0" totalsRowShown="0">
  <x:autoFilter ref="A10:L26"/>
  <x:tableColumns count="12">
    <x:tableColumn id="1" name="Task ID"/>
    <x:tableColumn id="2" name="Module"/>
    <x:tableColumn id="3" name="Công việc"/>
    <x:tableColumn id="4" name="Phụ trách"/>
    <x:tableColumn id="5" name="Ưu tiên"/>
    <x:tableColumn id="6" name="Phụ thuộc"/>
    <x:tableColumn id="7" name="Giờ gốc"/>
    <x:tableColumn id="8" name="Còn lại (giờ)"/>
    <x:tableColumn id="9" name="Trạng thái"/>
    <x:tableColumn id="10" name="Ước lượng còn (giờ)"/>
    <x:tableColumn id="11" name="Tiêu chí hoàn thành"/>
    <x:tableColumn id="12" name="Ghi chú / bàn gi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Sprint2" displayName="TasksSprint2" ref="A10:L19" headerRowCount="1" totalsRowCount="0" totalsRowShown="0">
  <x:autoFilter ref="A10:L19"/>
  <x:tableColumns count="12">
    <x:tableColumn id="1" name="Task ID"/>
    <x:tableColumn id="2" name="Module"/>
    <x:tableColumn id="3" name="Công việc"/>
    <x:tableColumn id="4" name="Phụ trách"/>
    <x:tableColumn id="5" name="Ưu tiên"/>
    <x:tableColumn id="6" name="Phụ thuộc"/>
    <x:tableColumn id="7" name="Giờ gốc"/>
    <x:tableColumn id="8" name="Còn lại (giờ)"/>
    <x:tableColumn id="9" name="Trạng thái"/>
    <x:tableColumn id="10" name="Ước lượng còn (giờ)"/>
    <x:tableColumn id="11" name="Tiêu chí hoàn thành"/>
    <x:tableColumn id="12" name="Ghi chú / bàn gi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sSprint3" displayName="TasksSprint3" ref="A10:L19" headerRowCount="1" totalsRowCount="0" totalsRowShown="0">
  <x:autoFilter ref="A10:L19"/>
  <x:tableColumns count="12">
    <x:tableColumn id="1" name="Task ID"/>
    <x:tableColumn id="2" name="Module"/>
    <x:tableColumn id="3" name="Công việc"/>
    <x:tableColumn id="4" name="Phụ trách"/>
    <x:tableColumn id="5" name="Ưu tiên"/>
    <x:tableColumn id="6" name="Phụ thuộc"/>
    <x:tableColumn id="7" name="Giờ gốc"/>
    <x:tableColumn id="8" name="Còn lại (giờ)"/>
    <x:tableColumn id="9" name="Trạng thái"/>
    <x:tableColumn id="10" name="Ước lượng còn (giờ)"/>
    <x:tableColumn id="11" name="Tiêu chí hoàn thành"/>
    <x:tableColumn id="12" name="Ghi chú / bàn gi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sSprint4" displayName="TasksSprint4" ref="A10:L18" headerRowCount="1" totalsRowCount="0" totalsRowShown="0">
  <x:autoFilter ref="A10:L18"/>
  <x:tableColumns count="12">
    <x:tableColumn id="1" name="Task ID"/>
    <x:tableColumn id="2" name="Module"/>
    <x:tableColumn id="3" name="Công việc"/>
    <x:tableColumn id="4" name="Phụ trách"/>
    <x:tableColumn id="5" name="Ưu tiên"/>
    <x:tableColumn id="6" name="Phụ thuộc"/>
    <x:tableColumn id="7" name="Giờ gốc"/>
    <x:tableColumn id="8" name="Còn lại (giờ)"/>
    <x:tableColumn id="9" name="Trạng thái"/>
    <x:tableColumn id="10" name="Ước lượng còn (giờ)"/>
    <x:tableColumn id="11" name="Tiêu chí hoàn thành"/>
    <x:tableColumn id="12" name="Ghi chú / bàn gi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9dea2a49d3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f65143f8d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abcca3b38345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38f44e8894d05" /></Relationships>
</file>

<file path=xl/worksheets/sheet1.xml><?xml version="1.0" encoding="utf-8"?>
<x:worksheet xmlns:x="http://schemas.openxmlformats.org/spreadsheetml/2006/main">
  <x:sheetPr>
    <x:tabColor rgb="FF254F73"/>
  </x:sheetPr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3.5" hidden="0" customWidth="1"/>
    <x:col min="7" max="7" width="14.75" hidden="0" customWidth="1"/>
    <x:col min="8" max="8" width="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KẾ HOẠCH 4 SPRINT THEO TUẦN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2" t="str">
        <x:v>Bắt đầu Sprint 1</x:v>
      </x:c>
      <x:c r="B4" s="6" t="d">
        <x:v>2026-10-12T00:00:00.000Z</x:v>
      </x:c>
      <x:c r="C4" s="2"/>
      <x:c r="D4" s="2" t="str">
        <x:v>Số ngày/sprint</x:v>
      </x:c>
      <x:c r="E4" s="2" t="n">
        <x:v>7</x:v>
      </x:c>
      <x:c r="F4" s="2"/>
      <x:c r="G4" s="2" t="str">
        <x:v>Cập nhật đến</x:v>
      </x:c>
      <x:c r="H4" s="7" t="d">
        <x:v>2026-10-14T00:00:00.000Z</x:v>
      </x:c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 t="str">
        <x:v>Tổng task</x:v>
      </x:c>
      <x:c r="B6" s="9" t="n">
        <x:f>SUM(F9:F12)</x:f>
        <x:v>42</x:v>
      </x:c>
      <x:c r="C6" s="2" t="str">
        <x:v>Giờ gốc</x:v>
      </x:c>
      <x:c r="D6" s="9" t="n">
        <x:f>SUM('Sprint 1'!G11:G26)+SUM('Sprint 2'!G11:G19)+SUM('Sprint 3'!G11:G19)+SUM('Sprint 4'!G11:G18)</x:f>
        <x:v>277</x:v>
      </x:c>
      <x:c r="E6" s="2" t="str">
        <x:v>Còn lại (giờ)</x:v>
      </x:c>
      <x:c r="F6" s="9" t="n">
        <x:f>SUM(D9:D12)</x:f>
        <x:v>247</x:v>
      </x:c>
      <x:c r="G6" s="2" t="str">
        <x:v>Đã hoàn thành</x:v>
      </x:c>
      <x:c r="H6" s="8" t="n">
        <x:f>SUM(G9:G12)</x:f>
        <x:v>3</x:v>
      </x:c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18" t="str">
        <x:v>Sprint</x:v>
      </x:c>
      <x:c r="B8" s="19" t="str">
        <x:v>Từ ngày</x:v>
      </x:c>
      <x:c r="C8" s="19" t="str">
        <x:v>Đến ngày</x:v>
      </x:c>
      <x:c r="D8" s="19" t="str">
        <x:v>Còn lại (giờ)</x:v>
      </x:c>
      <x:c r="E8" s="19" t="str">
        <x:v>P0 chưa xong</x:v>
      </x:c>
      <x:c r="F8" s="19" t="str">
        <x:v>Tổng task</x:v>
      </x:c>
      <x:c r="G8" s="19" t="str">
        <x:v>Hoàn thành</x:v>
      </x:c>
      <x:c r="H8" s="20" t="str">
        <x:v>Mục tiêu nghiệm thu</x:v>
      </x:c>
    </x:row>
    <x:row r="9" ht="40" customHeight="1">
      <x:c r="A9" s="23" t="str">
        <x:v>Sprint 1</x:v>
      </x:c>
      <x:c r="B9" s="24" t="n">
        <x:f>$B$4+0*$E$4</x:f>
        <x:v>46307</x:v>
      </x:c>
      <x:c r="C9" s="24" t="n">
        <x:f>B9+$E$4-1</x:f>
        <x:v>46313</x:v>
      </x:c>
      <x:c r="D9" s="25" t="n">
        <x:f>SUM('Sprint 1'!H11:H26)</x:f>
        <x:v>72</x:v>
      </x:c>
      <x:c r="E9" s="25" t="n">
        <x:f>COUNTIFS('Sprint 1'!E11:E26,"P0",'Sprint 1'!I11:I26,"&lt;&gt;Hoàn thành")</x:f>
        <x:v>13</x:v>
      </x:c>
      <x:c r="F9" s="25" t="n">
        <x:f>COUNTA('Sprint 1'!A11:A26)</x:f>
        <x:v>16</x:v>
      </x:c>
      <x:c r="G9" s="25" t="n">
        <x:f>COUNTIFS('Sprint 1'!I11:I26,"Hoàn thành")</x:f>
        <x:v>3</x:v>
      </x:c>
      <x:c r="H9" s="26" t="str">
        <x:v>Chốt nền tảng, quyền API, quy tắc loyalty, dữ liệu phòng và hợp đồng quote; tìm phòng trên web.</x:v>
      </x:c>
    </x:row>
    <x:row r="10" ht="40" customHeight="1">
      <x:c r="A10" s="2" t="str">
        <x:v>Sprint 2</x:v>
      </x:c>
      <x:c r="B10" s="22" t="n">
        <x:f>$B$4+1*$E$4</x:f>
        <x:v>46314</x:v>
      </x:c>
      <x:c r="C10" s="22" t="n">
        <x:f>B10+$E$4-1</x:f>
        <x:v>46320</x:v>
      </x:c>
      <x:c r="D10" s="9" t="n">
        <x:f>SUM('Sprint 2'!H11:H19)</x:f>
        <x:v>61</x:v>
      </x:c>
      <x:c r="E10" s="9" t="n">
        <x:f>COUNTIFS('Sprint 2'!E11:E19,"P0",'Sprint 2'!I11:I19,"&lt;&gt;Hoàn thành")</x:f>
        <x:v>6</x:v>
      </x:c>
      <x:c r="F10" s="9" t="n">
        <x:f>COUNTA('Sprint 2'!A11:A19)</x:f>
        <x:v>9</x:v>
      </x:c>
      <x:c r="G10" s="9" t="n">
        <x:f>COUNTIFS('Sprint 2'!I11:I19,"Hoàn thành")</x:f>
        <x:v>0</x:v>
      </x:c>
      <x:c r="H10" s="21" t="str">
        <x:v>API giữ chỗ 15 phút, thanh toán demo, job hết hạn; API RoomBlock và lịch phòng cho staff.</x:v>
      </x:c>
    </x:row>
    <x:row r="11" ht="40" customHeight="1">
      <x:c r="A11" s="23" t="str">
        <x:v>Sprint 3</x:v>
      </x:c>
      <x:c r="B11" s="24" t="n">
        <x:f>$B$4+2*$E$4</x:f>
        <x:v>46321</x:v>
      </x:c>
      <x:c r="C11" s="24" t="n">
        <x:f>B11+$E$4-1</x:f>
        <x:v>46327</x:v>
      </x:c>
      <x:c r="D11" s="25" t="n">
        <x:f>SUM('Sprint 3'!H11:H19)</x:f>
        <x:v>65</x:v>
      </x:c>
      <x:c r="E11" s="25" t="n">
        <x:f>COUNTIFS('Sprint 3'!E11:E19,"P0",'Sprint 3'!I11:I19,"&lt;&gt;Hoàn thành")</x:f>
        <x:v>2</x:v>
      </x:c>
      <x:c r="F11" s="25" t="n">
        <x:f>COUNTA('Sprint 3'!A11:A19)</x:f>
        <x:v>9</x:v>
      </x:c>
      <x:c r="G11" s="25" t="n">
        <x:f>COUNTIFS('Sprint 3'!I11:I19,"Hoàn thành")</x:f>
        <x:v>0</x:v>
      </x:c>
      <x:c r="H11" s="26" t="str">
        <x:v>Hoàn tất luồng đặt/thanh toán trên web và UI chặn/mở phòng; P1 khi P0 của module đã ổn.</x:v>
      </x:c>
    </x:row>
    <x:row r="12" ht="40" customHeight="1">
      <x:c r="A12" s="2" t="str">
        <x:v>Sprint 4</x:v>
      </x:c>
      <x:c r="B12" s="22" t="n">
        <x:f>$B$4+3*$E$4</x:f>
        <x:v>46328</x:v>
      </x:c>
      <x:c r="C12" s="22" t="n">
        <x:f>B12+$E$4-1</x:f>
        <x:v>46334</x:v>
      </x:c>
      <x:c r="D12" s="9" t="n">
        <x:f>SUM('Sprint 4'!H11:H18)</x:f>
        <x:v>49</x:v>
      </x:c>
      <x:c r="E12" s="9" t="n">
        <x:f>COUNTIFS('Sprint 4'!E11:E18,"P0",'Sprint 4'!I11:I18,"&lt;&gt;Hoàn thành")</x:f>
        <x:v>2</x:v>
      </x:c>
      <x:c r="F12" s="9" t="n">
        <x:f>COUNTA('Sprint 4'!A11:A18)</x:f>
        <x:v>8</x:v>
      </x:c>
      <x:c r="G12" s="9" t="n">
        <x:f>COUNTIFS('Sprint 4'!I11:I18,"Hoàn thành")</x:f>
        <x:v>0</x:v>
      </x:c>
      <x:c r="H12" s="21" t="str">
        <x:v>Kiểm thử toàn luồng, sửa lỗi, đóng gói DB/API/FE bằng Compose và diễn tập demo.</x:v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7" t="str">
        <x:v>PHÂN BỔ GIỜ CÒN LẠI THEO THÀNH VIÊN</x:v>
      </x:c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34" customHeight="1">
      <x:c r="A17" s="18" t="str">
        <x:v>Thành viên</x:v>
      </x:c>
      <x:c r="B17" s="19" t="str">
        <x:v>Sprint 1</x:v>
      </x:c>
      <x:c r="C17" s="19" t="str">
        <x:v>Sprint 2</x:v>
      </x:c>
      <x:c r="D17" s="19" t="str">
        <x:v>Sprint 3</x:v>
      </x:c>
      <x:c r="E17" s="19" t="str">
        <x:v>Sprint 4</x:v>
      </x:c>
      <x:c r="F17" s="19" t="str">
        <x:v>Tổng giờ</x:v>
      </x:c>
      <x:c r="G17" s="19" t="str">
        <x:v>Task chưa xong</x:v>
      </x:c>
      <x:c r="H17" s="20" t="str">
        <x:v>Phần việc / phối hợp</x:v>
      </x:c>
    </x:row>
    <x:row r="18" ht="36" customHeight="1">
      <x:c r="A18" s="23" t="str">
        <x:v>Bảo Long</x:v>
      </x:c>
      <x:c r="B18" s="25" t="n">
        <x:f>SUMIFS('Sprint 1'!H11:H26,'Sprint 1'!D11:D26,A18)</x:f>
        <x:v>11</x:v>
      </x:c>
      <x:c r="C18" s="25" t="n">
        <x:f>SUMIFS('Sprint 2'!H11:H19,'Sprint 2'!D11:D19,A18)</x:f>
        <x:v>0</x:v>
      </x:c>
      <x:c r="D18" s="25" t="n">
        <x:f>SUMIFS('Sprint 3'!H11:H19,'Sprint 3'!D11:D19,A18)</x:f>
        <x:v>13</x:v>
      </x:c>
      <x:c r="E18" s="25" t="n">
        <x:f>SUMIFS('Sprint 4'!H11:H18,'Sprint 4'!D11:D18,A18)</x:f>
        <x:v>13</x:v>
      </x:c>
      <x:c r="F18" s="25" t="n">
        <x:f>SUM(B18:E18)</x:f>
        <x:v>37</x:v>
      </x:c>
      <x:c r="G18" s="25" t="n">
        <x:f>COUNTIFS('Sprint 1'!D11:D26,A18,'Sprint 1'!I11:I26,"&lt;&gt;Hoàn thành")+COUNTIFS('Sprint 2'!D11:D19,A18,'Sprint 2'!I11:I19,"&lt;&gt;Hoàn thành")+COUNTIFS('Sprint 3'!D11:D19,A18,'Sprint 3'!I11:I19,"&lt;&gt;Hoàn thành")+COUNTIFS('Sprint 4'!D11:D18,A18,'Sprint 4'!I11:I18,"&lt;&gt;Hoàn thành")</x:f>
        <x:v>6</x:v>
      </x:c>
      <x:c r="H18" s="26" t="str">
        <x:v>S1: loyalty/RBAC. S2: review API và tích hợp. S3: loyalty P1. S4: E2E và Compose.</x:v>
      </x:c>
    </x:row>
    <x:row r="19" ht="36" customHeight="1">
      <x:c r="A19" s="2" t="str">
        <x:v>Phước Sang</x:v>
      </x:c>
      <x:c r="B19" s="9" t="n">
        <x:f>SUMIFS('Sprint 1'!H11:H26,'Sprint 1'!D11:D26,A19)</x:f>
        <x:v>25</x:v>
      </x:c>
      <x:c r="C19" s="9" t="n">
        <x:f>SUMIFS('Sprint 2'!H11:H19,'Sprint 2'!D11:D19,A19)</x:f>
        <x:v>12</x:v>
      </x:c>
      <x:c r="D19" s="9" t="n">
        <x:f>SUMIFS('Sprint 3'!H11:H19,'Sprint 3'!D11:D19,A19)</x:f>
        <x:v>7</x:v>
      </x:c>
      <x:c r="E19" s="9" t="n">
        <x:f>SUMIFS('Sprint 4'!H11:H18,'Sprint 4'!D11:D18,A19)</x:f>
        <x:v>5</x:v>
      </x:c>
      <x:c r="F19" s="9" t="n">
        <x:f>SUM(B19:E19)</x:f>
        <x:v>49</x:v>
      </x:c>
      <x:c r="G19" s="9" t="n">
        <x:f>COUNTIFS('Sprint 1'!D11:D26,A19,'Sprint 1'!I11:I26,"&lt;&gt;Hoàn thành")+COUNTIFS('Sprint 2'!D11:D19,A19,'Sprint 2'!I11:I19,"&lt;&gt;Hoàn thành")+COUNTIFS('Sprint 3'!D11:D19,A19,'Sprint 3'!I11:I19,"&lt;&gt;Hoàn thành")+COUNTIFS('Sprint 4'!D11:D18,A19,'Sprint 4'!I11:I18,"&lt;&gt;Hoàn thành")</x:f>
        <x:v>8</x:v>
      </x:c>
      <x:c r="H19" s="21" t="str">
        <x:v>S1: danh mục, block model, khóa phòng. S2: API block/test. S3: admin UI. S4: smoke/fix.</x:v>
      </x:c>
    </x:row>
    <x:row r="20" ht="36" customHeight="1">
      <x:c r="A20" s="23" t="str">
        <x:v>Thanh Binh</x:v>
      </x:c>
      <x:c r="B20" s="25" t="n">
        <x:f>SUMIFS('Sprint 1'!H11:H26,'Sprint 1'!D11:D26,A20)</x:f>
        <x:v>21</x:v>
      </x:c>
      <x:c r="C20" s="25" t="n">
        <x:f>SUMIFS('Sprint 2'!H11:H19,'Sprint 2'!D11:D19,A20)</x:f>
        <x:v>23</x:v>
      </x:c>
      <x:c r="D20" s="25" t="n">
        <x:f>SUMIFS('Sprint 3'!H11:H19,'Sprint 3'!D11:D19,A20)</x:f>
        <x:v>13</x:v>
      </x:c>
      <x:c r="E20" s="25" t="n">
        <x:f>SUMIFS('Sprint 4'!H11:H18,'Sprint 4'!D11:D18,A20)</x:f>
        <x:v>0</x:v>
      </x:c>
      <x:c r="F20" s="25" t="n">
        <x:f>SUM(B20:E20)</x:f>
        <x:v>57</x:v>
      </x:c>
      <x:c r="G20" s="25" t="n">
        <x:f>COUNTIFS('Sprint 1'!D11:D26,A20,'Sprint 1'!I11:I26,"&lt;&gt;Hoàn thành")+COUNTIFS('Sprint 2'!D11:D19,A20,'Sprint 2'!I11:I19,"&lt;&gt;Hoàn thành")+COUNTIFS('Sprint 3'!D11:D19,A20,'Sprint 3'!I11:I19,"&lt;&gt;Hoàn thành")+COUNTIFS('Sprint 4'!D11:D18,A20,'Sprint 4'!I11:I18,"&lt;&gt;Hoàn thành")</x:f>
        <x:v>8</x:v>
      </x:c>
      <x:c r="H20" s="26" t="str">
        <x:v>S1: model/tìm phòng + FE tìm. S2: hold/job/test. S3: FE đặt/hủy. S4: hỗ trợ E2E/fix.</x:v>
      </x:c>
    </x:row>
    <x:row r="21" ht="36" customHeight="1">
      <x:c r="A21" s="2" t="str">
        <x:v>Đình Đạt</x:v>
      </x:c>
      <x:c r="B21" s="9" t="n">
        <x:f>SUMIFS('Sprint 1'!H11:H26,'Sprint 1'!D11:D26,A21)</x:f>
        <x:v>13</x:v>
      </x:c>
      <x:c r="C21" s="9" t="n">
        <x:f>SUMIFS('Sprint 2'!H11:H19,'Sprint 2'!D11:D19,A21)</x:f>
        <x:v>11</x:v>
      </x:c>
      <x:c r="D21" s="9" t="n">
        <x:f>SUMIFS('Sprint 3'!H11:H19,'Sprint 3'!D11:D19,A21)</x:f>
        <x:v>16</x:v>
      </x:c>
      <x:c r="E21" s="9" t="n">
        <x:f>SUMIFS('Sprint 4'!H11:H18,'Sprint 4'!D11:D18,A21)</x:f>
        <x:v>11</x:v>
      </x:c>
      <x:c r="F21" s="9" t="n">
        <x:f>SUM(B21:E21)</x:f>
        <x:v>51</x:v>
      </x:c>
      <x:c r="G21" s="9" t="n">
        <x:f>COUNTIFS('Sprint 1'!D11:D26,A21,'Sprint 1'!I11:I26,"&lt;&gt;Hoàn thành")+COUNTIFS('Sprint 2'!D11:D19,A21,'Sprint 2'!I11:I19,"&lt;&gt;Hoàn thành")+COUNTIFS('Sprint 3'!D11:D19,A21,'Sprint 3'!I11:I19,"&lt;&gt;Hoàn thành")+COUNTIFS('Sprint 4'!D11:D18,A21,'Sprint 4'!I11:I18,"&lt;&gt;Hoàn thành")</x:f>
        <x:v>8</x:v>
      </x:c>
      <x:c r="H21" s="21" t="str">
        <x:v>S1: quote/giá. S2: payment demo/PDF. S3: VNPay P1. S4: hỗ trợ E2E; P2 nếu còn thời gian.</x:v>
      </x:c>
    </x:row>
    <x:row r="22" ht="36" customHeight="1">
      <x:c r="A22" s="23" t="str">
        <x:v>Thông Đạt</x:v>
      </x:c>
      <x:c r="B22" s="25" t="n">
        <x:f>SUMIFS('Sprint 1'!H11:H26,'Sprint 1'!D11:D26,A22)</x:f>
        <x:v>2</x:v>
      </x:c>
      <x:c r="C22" s="25" t="n">
        <x:f>SUMIFS('Sprint 2'!H11:H19,'Sprint 2'!D11:D19,A22)</x:f>
        <x:v>15</x:v>
      </x:c>
      <x:c r="D22" s="25" t="n">
        <x:f>SUMIFS('Sprint 3'!H11:H19,'Sprint 3'!D11:D19,A22)</x:f>
        <x:v>16</x:v>
      </x:c>
      <x:c r="E22" s="25" t="n">
        <x:f>SUMIFS('Sprint 4'!H11:H18,'Sprint 4'!D11:D18,A22)</x:f>
        <x:v>20</x:v>
      </x:c>
      <x:c r="F22" s="25" t="n">
        <x:f>SUM(B22:E22)</x:f>
        <x:v>53</x:v>
      </x:c>
      <x:c r="G22" s="25" t="n">
        <x:f>COUNTIFS('Sprint 1'!D11:D26,A22,'Sprint 1'!I11:I26,"&lt;&gt;Hoàn thành")+COUNTIFS('Sprint 2'!D11:D19,A22,'Sprint 2'!I11:I19,"&lt;&gt;Hoàn thành")+COUNTIFS('Sprint 3'!D11:D19,A22,'Sprint 3'!I11:I19,"&lt;&gt;Hoàn thành")+COUNTIFS('Sprint 4'!D11:D18,A22,'Sprint 4'!I11:I18,"&lt;&gt;Hoàn thành")</x:f>
        <x:v>9</x:v>
      </x:c>
      <x:c r="H22" s="26" t="str">
        <x:v>S1: nghiệm thu FE mẫu. S2: lịch/tra cứu. S3: UI block/booking theo ngày. S4: báo cáo/audit.</x:v>
      </x:c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7" t="str">
        <x:v>NGUYÊN TẮC THỰC HIỆN</x:v>
      </x:c>
      <x:c r="B25" s="2"/>
      <x:c r="C25" s="2"/>
      <x:c r="D25" s="2"/>
      <x:c r="E25" s="2"/>
      <x:c r="F25" s="2"/>
      <x:c r="G25" s="2"/>
      <x:c r="H25" s="2"/>
    </x:row>
    <x:row r="26" ht="23" customHeight="1">
      <x:c r="A26" s="2" t="str">
        <x:v>P0 bắt buộc nghiệm thu; P1 theo năng lực còn lại; P2 chỉ làm khi P0/P1 ổn định. Cuối tuần là thời gian dự phòng.</x:v>
      </x:c>
      <x:c r="B26" s="2"/>
      <x:c r="C26" s="2"/>
      <x:c r="D26" s="2"/>
      <x:c r="E26" s="2"/>
      <x:c r="F26" s="2"/>
      <x:c r="G26" s="2"/>
      <x:c r="H26" s="2"/>
    </x:row>
    <x:row r="27" ht="23" customHeight="1">
      <x:c r="A27" s="2" t="str">
        <x:v>M1-01–03 đã hoàn thành; M5-01–02 có FE mẫu và chờ Thông Đạt review. Trạng thái khác giữ theo file gốc, từng chủ module cập nhật.</x:v>
      </x:c>
      <x:c r="B27" s="2"/>
      <x:c r="C27" s="2"/>
      <x:c r="D27" s="2"/>
      <x:c r="E27" s="2"/>
      <x:c r="F27" s="2"/>
      <x:c r="G27" s="2"/>
      <x:c r="H27" s="2"/>
    </x:row>
    <x:row r="28" ht="23" customHeight="1">
      <x:c r="A28" s="2" t="str">
        <x:v>Giờ gốc giữ nguyên 277 giờ. Giờ còn lại trừ việc đã xong; FE mẫu dự kiến còn 1 giờ review/task. Chưa gồm giờ họp, review PR và sửa lỗi phát sinh.</x:v>
      </x:c>
      <x:c r="B28" s="2"/>
      <x:c r="C28" s="2"/>
      <x:c r="D28" s="2"/>
      <x:c r="E28" s="2"/>
      <x:c r="F28" s="2"/>
      <x:c r="G28" s="2"/>
      <x:c r="H28" s="2"/>
    </x:row>
    <x:row r="29" ht="23" customHeight="1">
      <x:c r="A29" s="2" t="str">
        <x:v>Sửa ngày bắt đầu ở B4 để dịch toàn bộ lịch. Cột Trạng thái và Ước lượng còn lại trên từng sprint là ô nhập; bỏ trống ước lượng để dùng giờ gốc.</x:v>
      </x:c>
      <x:c r="B29" s="2"/>
      <x:c r="C29" s="2"/>
      <x:c r="D29" s="2"/>
      <x:c r="E29" s="2"/>
      <x:c r="F29" s="2"/>
      <x:c r="G29" s="2"/>
      <x:c r="H29" s="2"/>
    </x:row>
    <x:row r="30" ht="23" customHeight="1">
      <x:c r="A30" s="2" t="str">
        <x:v>Bảo Long điều phối; mỗi thành viên cập nhật trạng thái giữa tuần và demo phần tích hợp vào cuối tuần. Không có staff check-in/check-out.</x:v>
      </x:c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.880000114440918" hidden="0" customWidth="1"/>
    <x:col min="2" max="2" width="15" hidden="0" customWidth="1"/>
    <x:col min="3" max="3" width="38.75" hidden="0" customWidth="1"/>
    <x:col min="4" max="4" width="15.630000114440918" hidden="0" customWidth="1"/>
    <x:col min="5" max="5" width="8.25" hidden="0" customWidth="1"/>
    <x:col min="6" max="6" width="21.8799991607666" hidden="0" customWidth="1"/>
    <x:col min="7" max="7" width="9.130000114440918" hidden="0" customWidth="1"/>
    <x:col min="8" max="8" width="10.380000114440918" hidden="0" customWidth="1"/>
    <x:col min="9" max="9" width="18.75" hidden="0" customWidth="1"/>
    <x:col min="10" max="10" width="13.130000114440918" hidden="0" customWidth="1"/>
    <x:col min="11" max="11" width="53.75" hidden="0" customWidth="1"/>
    <x:col min="12" max="12" width="47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SPRINT 1 — TUẦN 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Từ ngày</x:v>
      </x:c>
      <x:c r="B4" s="5" t="n">
        <x:f>'Tổng quan'!B9</x:f>
        <x:v>46307</x:v>
      </x:c>
      <x:c r="C4" s="2"/>
      <x:c r="D4" s="2" t="str">
        <x:v>Đến ngày</x:v>
      </x:c>
      <x:c r="E4" s="7" t="n">
        <x:f>'Tổng quan'!C9</x:f>
        <x:v>46313</x:v>
      </x:c>
      <x:c r="F4" s="7"/>
      <x:c r="G4" s="2" t="str">
        <x:v>Giờ còn</x:v>
      </x:c>
      <x:c r="H4" s="2" t="n">
        <x:f>SUM(H11:H26)</x:f>
        <x:v>72</x:v>
      </x:c>
      <x:c r="I4" s="2"/>
      <x:c r="J4" s="2" t="str">
        <x:v>P0 chưa xong</x:v>
      </x:c>
      <x:c r="K4" s="8" t="n">
        <x:f>COUNTIFS(E11:E26,"P0",I11:I26,"&lt;&gt;Hoàn thành")</x:f>
        <x:v>13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Mục tiêu: Chốt nền tảng, quyền API, quy tắc loyalty, dữ liệu phòng và hợp đồng quote; tìm phòng trên web.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Đầu tuần chốt DTO và schema; giữa tuần giao RoomBlock/lock/quote; cuối tuần nghiệm thu tìm phòng + RBAC.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8" t="str">
        <x:v>Theo thứ tự phụ thuộc; có thể code song song sau khi chốt DTO. Ô vàng: trạng thái/ước lượng còn lại. Chỉ đánh dấu xong sau khi đáp ứng tiêu chí.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52" customHeight="1">
      <x:c r="A10" s="18" t="str">
        <x:v>Task ID</x:v>
      </x:c>
      <x:c r="B10" s="19" t="str">
        <x:v>Module</x:v>
      </x:c>
      <x:c r="C10" s="19" t="str">
        <x:v>Công việc</x:v>
      </x:c>
      <x:c r="D10" s="19" t="str">
        <x:v>Phụ trách</x:v>
      </x:c>
      <x:c r="E10" s="19" t="str">
        <x:v>Ưu tiên</x:v>
      </x:c>
      <x:c r="F10" s="19" t="str">
        <x:v>Phụ thuộc</x:v>
      </x:c>
      <x:c r="G10" s="19" t="str">
        <x:v>Giờ gốc</x:v>
      </x:c>
      <x:c r="H10" s="19" t="str">
        <x:v>Còn lại (giờ)</x:v>
      </x:c>
      <x:c r="I10" s="19" t="str">
        <x:v>Trạng thái</x:v>
      </x:c>
      <x:c r="J10" s="19" t="str">
        <x:v>Ước lượng còn (giờ)</x:v>
      </x:c>
      <x:c r="K10" s="19" t="str">
        <x:v>Tiêu chí hoàn thành</x:v>
      </x:c>
      <x:c r="L10" s="20" t="str">
        <x:v>Ghi chú / bàn giao</x:v>
      </x:c>
    </x:row>
    <x:row r="11" ht="64" customHeight="1">
      <x:c r="A11" s="29" t="str">
        <x:v>M1-01</x:v>
      </x:c>
      <x:c r="B11" s="29" t="str">
        <x:v>Nền tảng</x:v>
      </x:c>
      <x:c r="C11" s="29" t="str">
        <x:v>Khởi tạo Spring Boot, React, migration</x:v>
      </x:c>
      <x:c r="D11" s="29" t="str">
        <x:v>Bảo Long</x:v>
      </x:c>
      <x:c r="E11" s="29" t="str">
        <x:v>P0</x:v>
      </x:c>
      <x:c r="F11" s="29" t="str"/>
      <x:c r="G11" s="33" t="n">
        <x:v>7</x:v>
      </x:c>
      <x:c r="H11" s="33" t="n">
        <x:f>IF(I11="Hoàn thành",0,IF(ISBLANK(J11),G11,J11))</x:f>
        <x:v>0</x:v>
      </x:c>
      <x:c r="I11" s="35" t="str">
        <x:v>Hoàn thành</x:v>
      </x:c>
      <x:c r="J11" s="36"/>
      <x:c r="K11" s="29" t="str">
        <x:v>Repo chạy được; CI build backend và frontend; DB có migration đầu tiên.</x:v>
      </x:c>
      <x:c r="L11" s="29" t="str">
        <x:v>Tech lead chốt quy ước nhánh, PR, DTO, lỗi API. Đã có nền tảng và CI. Rà soát cách chạy chung với các thành viên.</x:v>
      </x:c>
    </x:row>
    <x:row r="12" ht="64" customHeight="1">
      <x:c r="A12" s="30" t="str">
        <x:v>M1-02</x:v>
      </x:c>
      <x:c r="B12" s="30" t="str">
        <x:v>Auth</x:v>
      </x:c>
      <x:c r="C12" s="30" t="str">
        <x:v>Thiết kế User, Role và CustomerProfile</x:v>
      </x:c>
      <x:c r="D12" s="30" t="str">
        <x:v>Bảo Long</x:v>
      </x:c>
      <x:c r="E12" s="30" t="str">
        <x:v>P0</x:v>
      </x:c>
      <x:c r="F12" s="30" t="str">
        <x:v>M1-01</x:v>
      </x:c>
      <x:c r="G12" s="34" t="n">
        <x:v>5</x:v>
      </x:c>
      <x:c r="H12" s="34" t="n">
        <x:f>IF(I12="Hoàn thành",0,IF(ISBLANK(J12),G12,J12))</x:f>
        <x:v>0</x:v>
      </x:c>
      <x:c r="I12" s="35" t="str">
        <x:v>Hoàn thành</x:v>
      </x:c>
      <x:c r="J12" s="36"/>
      <x:c r="K12" s="30" t="str">
        <x:v>User/Role/CustomerProfile khớp schema; role tài khoản CUSTOMER, STAFF, ADMIN; Guest ẩn danh; hash mật khẩu; có dữ liệu mẫu.</x:v>
      </x:c>
      <x:c r="L12" s="30" t="str">
        <x:v>Một tài khoản có thể mang nhiều role nếu cần. Đã có entity/repository và seed; Guest là truy cập ẩn danh, không có role DB.</x:v>
      </x:c>
    </x:row>
    <x:row r="13" ht="64" customHeight="1">
      <x:c r="A13" s="29" t="str">
        <x:v>M1-03</x:v>
      </x:c>
      <x:c r="B13" s="29" t="str">
        <x:v>Auth</x:v>
      </x:c>
      <x:c r="C13" s="29" t="str">
        <x:v>API đăng ký, đăng nhập JWT</x:v>
      </x:c>
      <x:c r="D13" s="29" t="str">
        <x:v>Bảo Long</x:v>
      </x:c>
      <x:c r="E13" s="29" t="str">
        <x:v>P0</x:v>
      </x:c>
      <x:c r="F13" s="29" t="str">
        <x:v>M1-02</x:v>
      </x:c>
      <x:c r="G13" s="33" t="n">
        <x:v>8</x:v>
      </x:c>
      <x:c r="H13" s="33" t="n">
        <x:f>IF(I13="Hoàn thành",0,IF(ISBLANK(J13),G13,J13))</x:f>
        <x:v>0</x:v>
      </x:c>
      <x:c r="I13" s="35" t="str">
        <x:v>Hoàn thành</x:v>
      </x:c>
      <x:c r="J13" s="36"/>
      <x:c r="K13" s="29" t="str">
        <x:v>Register/login trả token; endpoint riêng tư từ chối token sai/hết hạn.</x:v>
      </x:c>
      <x:c r="L13" s="29" t="str">
        <x:v>Không đưa thông tin nhạy cảm vào JWT. Đã có API Auth và 22 ca test tích hợp; dùng docs/auth.md.</x:v>
      </x:c>
    </x:row>
    <x:row r="14" ht="64" customHeight="1">
      <x:c r="A14" s="30" t="str">
        <x:v>M1-04</x:v>
      </x:c>
      <x:c r="B14" s="30" t="str">
        <x:v>Loyalty</x:v>
      </x:c>
      <x:c r="C14" s="30" t="str">
        <x:v>Cấu hình tier và quy tắc điểm</x:v>
      </x:c>
      <x:c r="D14" s="30" t="str">
        <x:v>Bảo Long</x:v>
      </x:c>
      <x:c r="E14" s="30" t="str">
        <x:v>P0</x:v>
      </x:c>
      <x:c r="F14" s="30" t="str">
        <x:v>M1-02</x:v>
      </x:c>
      <x:c r="G14" s="34" t="n">
        <x:v>6</x:v>
      </x:c>
      <x:c r="H14" s="34" t="n">
        <x:f>IF(I14="Hoàn thành",0,IF(ISBLANK(J14),G14,J14))</x:f>
        <x:v>6</x:v>
      </x:c>
      <x:c r="I14" s="35" t="str">
        <x:v>Chưa bắt đầu</x:v>
      </x:c>
      <x:c r="J14" s="36"/>
      <x:c r="K14" s="30" t="str">
        <x:v>Standard/VIP/Diamond; ngưỡng 10m/30m VND; 1 điểm mỗi 10k chi tiêu hợp lệ.</x:v>
      </x:c>
      <x:c r="L14" s="30" t="str">
        <x:v>Làm rõ chi tiêu hợp lệ: tiền thực trả sau giảm giá, không gồm khoản hoàn. Giao service/rule tier và discount cho Đình Đạt trước khi hoàn tất M4-02.</x:v>
      </x:c>
    </x:row>
    <x:row r="15" ht="64" customHeight="1">
      <x:c r="A15" s="29" t="str">
        <x:v>M2-01</x:v>
      </x:c>
      <x:c r="B15" s="29" t="str">
        <x:v>Phòng</x:v>
      </x:c>
      <x:c r="C15" s="29" t="str">
        <x:v>Thiết kế RoomType và PhysicalRoom</x:v>
      </x:c>
      <x:c r="D15" s="29" t="str">
        <x:v>Phước Sang</x:v>
      </x:c>
      <x:c r="E15" s="29" t="str">
        <x:v>P0</x:v>
      </x:c>
      <x:c r="F15" s="29" t="str">
        <x:v>M1-01</x:v>
      </x:c>
      <x:c r="G15" s="33" t="n">
        <x:v>6</x:v>
      </x:c>
      <x:c r="H15" s="33" t="n">
        <x:f>IF(I15="Hoàn thành",0,IF(ISBLANK(J15),G15,J15))</x:f>
        <x:v>6</x:v>
      </x:c>
      <x:c r="I15" s="35" t="str">
        <x:v>Chưa bắt đầu</x:v>
      </x:c>
      <x:c r="J15" s="36"/>
      <x:c r="K15" s="29" t="str">
        <x:v>Hai entity tách biệt; roomNumber duy nhất; phòng thuộc đúng một loại.</x:v>
      </x:c>
      <x:c r="L15" s="29" t="str">
        <x:v>Khách đặt RoomType, không chọn số phòng. Giao entity/DTO cho Binh và Đình Đạt đầu tuần.</x:v>
      </x:c>
    </x:row>
    <x:row r="16" ht="64" customHeight="1">
      <x:c r="A16" s="30" t="str">
        <x:v>M2-02</x:v>
      </x:c>
      <x:c r="B16" s="30" t="str">
        <x:v>Phòng</x:v>
      </x:c>
      <x:c r="C16" s="30" t="str">
        <x:v>CRUD loại phòng và phòng vật lý</x:v>
      </x:c>
      <x:c r="D16" s="30" t="str">
        <x:v>Phước Sang</x:v>
      </x:c>
      <x:c r="E16" s="30" t="str">
        <x:v>P0</x:v>
      </x:c>
      <x:c r="F16" s="30" t="str">
        <x:v>M2-01, M1-03</x:v>
      </x:c>
      <x:c r="G16" s="34" t="n">
        <x:v>7</x:v>
      </x:c>
      <x:c r="H16" s="34" t="n">
        <x:f>IF(I16="Hoàn thành",0,IF(ISBLANK(J16),G16,J16))</x:f>
        <x:v>7</x:v>
      </x:c>
      <x:c r="I16" s="35" t="str">
        <x:v>Chưa bắt đầu</x:v>
      </x:c>
      <x:c r="J16" s="36"/>
      <x:c r="K16" s="30" t="str">
        <x:v>Admin tạo/sửa/ẩn loại phòng, phòng; API kiểm tra dữ liệu không hợp lệ.</x:v>
      </x:c>
      <x:c r="L16" s="30" t="str">
        <x:v>Không xóa cứng phòng đã có lịch sử.</x:v>
      </x:c>
    </x:row>
    <x:row r="17" ht="64" customHeight="1">
      <x:c r="A17" s="29" t="str">
        <x:v>M1-05</x:v>
      </x:c>
      <x:c r="B17" s="29" t="str">
        <x:v>Bảo mật</x:v>
      </x:c>
      <x:c r="C17" s="29" t="str">
        <x:v>Áp RBAC cho API và kiểm thử quyền</x:v>
      </x:c>
      <x:c r="D17" s="29" t="str">
        <x:v>Bảo Long</x:v>
      </x:c>
      <x:c r="E17" s="29" t="str">
        <x:v>P0</x:v>
      </x:c>
      <x:c r="F17" s="29" t="str">
        <x:v>M1-03, M2-02</x:v>
      </x:c>
      <x:c r="G17" s="33" t="n">
        <x:v>5</x:v>
      </x:c>
      <x:c r="H17" s="33" t="n">
        <x:f>IF(I17="Hoàn thành",0,IF(ISBLANK(J17),G17,J17))</x:f>
        <x:v>5</x:v>
      </x:c>
      <x:c r="I17" s="35" t="str">
        <x:v>Chưa bắt đầu</x:v>
      </x:c>
      <x:c r="J17" s="36"/>
      <x:c r="K17" s="29" t="str">
        <x:v>Customer không gọi API staff/admin; staff chỉ chặn/mở phòng theo quyền.</x:v>
      </x:c>
      <x:c r="L17" s="29" t="str">
        <x:v>Kiểm tra quyền tại server. Chốt HTTP method/URL với Sang; kiểm tra quyền sở hữu dữ liệu, không chỉ role.</x:v>
      </x:c>
    </x:row>
    <x:row r="18" ht="64" customHeight="1">
      <x:c r="A18" s="30" t="str">
        <x:v>M2-03</x:v>
      </x:c>
      <x:c r="B18" s="30" t="str">
        <x:v>Phòng</x:v>
      </x:c>
      <x:c r="C18" s="30" t="str">
        <x:v>Thiết kế RoomBlock theo khoảng thời gian</x:v>
      </x:c>
      <x:c r="D18" s="30" t="str">
        <x:v>Phước Sang</x:v>
      </x:c>
      <x:c r="E18" s="30" t="str">
        <x:v>P0</x:v>
      </x:c>
      <x:c r="F18" s="30" t="str">
        <x:v>M2-01</x:v>
      </x:c>
      <x:c r="G18" s="34" t="n">
        <x:v>5</x:v>
      </x:c>
      <x:c r="H18" s="34" t="n">
        <x:f>IF(I18="Hoàn thành",0,IF(ISBLANK(J18),G18,J18))</x:f>
        <x:v>5</x:v>
      </x:c>
      <x:c r="I18" s="35" t="str">
        <x:v>Chưa bắt đầu</x:v>
      </x:c>
      <x:c r="J18" s="36"/>
      <x:c r="K18" s="30" t="str">
        <x:v>RoomBlock có roomId, startAt, endAt, lý do; phòng mặc định bán được khi không bị chặn.</x:v>
      </x:c>
      <x:c r="L18" s="30" t="str">
        <x:v>Staff chặn/mở theo khoảng thời gian, không dùng cờ hiện tại cho mọi ngày.</x:v>
      </x:c>
    </x:row>
    <x:row r="19" ht="64" customHeight="1">
      <x:c r="A19" s="29" t="str">
        <x:v>M3-01</x:v>
      </x:c>
      <x:c r="B19" s="29" t="str">
        <x:v>Booking</x:v>
      </x:c>
      <x:c r="C19" s="29" t="str">
        <x:v>Thiết kế Booking và trạng thái</x:v>
      </x:c>
      <x:c r="D19" s="29" t="str">
        <x:v>Thanh Binh</x:v>
      </x:c>
      <x:c r="E19" s="29" t="str">
        <x:v>P0</x:v>
      </x:c>
      <x:c r="F19" s="29" t="str">
        <x:v>M1-01, M2-01</x:v>
      </x:c>
      <x:c r="G19" s="33" t="n">
        <x:v>6</x:v>
      </x:c>
      <x:c r="H19" s="33" t="n">
        <x:f>IF(I19="Hoàn thành",0,IF(ISBLANK(J19),G19,J19))</x:f>
        <x:v>6</x:v>
      </x:c>
      <x:c r="I19" s="35" t="str">
        <x:v>Chưa bắt đầu</x:v>
      </x:c>
      <x:c r="J19" s="36"/>
      <x:c r="K19" s="29" t="str">
        <x:v>Entity có RoomType, roomId nội bộ, startAt/endAt, giá snapshot, holdExpiresAt.</x:v>
      </x:c>
      <x:c r="L19" s="29" t="str">
        <x:v>Trạng thái: PENDING_PAYMENT, CONFIRMED, COMPLETED, CANCELLED, EXPIRED.</x:v>
      </x:c>
    </x:row>
    <x:row r="20" ht="64" customHeight="1">
      <x:c r="A20" s="30" t="str">
        <x:v>M2-04</x:v>
      </x:c>
      <x:c r="B20" s="30" t="str">
        <x:v>Availability</x:v>
      </x:c>
      <x:c r="C20" s="30" t="str">
        <x:v>Truy vấn phòng vật lý và khóa khi giữ chỗ</x:v>
      </x:c>
      <x:c r="D20" s="30" t="str">
        <x:v>Phước Sang</x:v>
      </x:c>
      <x:c r="E20" s="30" t="str">
        <x:v>P0</x:v>
      </x:c>
      <x:c r="F20" s="30" t="str">
        <x:v>M2-03, M3-01</x:v>
      </x:c>
      <x:c r="G20" s="34" t="n">
        <x:v>7</x:v>
      </x:c>
      <x:c r="H20" s="34" t="n">
        <x:f>IF(I20="Hoàn thành",0,IF(ISBLANK(J20),G20,J20))</x:f>
        <x:v>7</x:v>
      </x:c>
      <x:c r="I20" s="35" t="str">
        <x:v>Chưa bắt đầu</x:v>
      </x:c>
      <x:c r="J20" s="36"/>
      <x:c r="K20" s="30" t="str">
        <x:v>Khóa room row rồi kiểm tra lại overlap với booking/hold/block trong transaction.</x:v>
      </x:c>
      <x:c r="L20" s="30" t="str">
        <x:v>Khoảng ở dạng [startAt,endAt); không lấy cờ available hiện tại làm lịch tương lai. Giao truy vấn + khóa phòng cho Binh; thống nhất transaction giữ chỗ.</x:v>
      </x:c>
    </x:row>
    <x:row r="21" ht="64" customHeight="1">
      <x:c r="A21" s="29" t="str">
        <x:v>M3-02</x:v>
      </x:c>
      <x:c r="B21" s="29" t="str">
        <x:v>Booking</x:v>
      </x:c>
      <x:c r="C21" s="29" t="str">
        <x:v>API tìm loại phòng trống theo thời gian</x:v>
      </x:c>
      <x:c r="D21" s="29" t="str">
        <x:v>Thanh Binh</x:v>
      </x:c>
      <x:c r="E21" s="29" t="str">
        <x:v>P0</x:v>
      </x:c>
      <x:c r="F21" s="29" t="str">
        <x:v>M2-04, M3-01</x:v>
      </x:c>
      <x:c r="G21" s="33" t="n">
        <x:v>8</x:v>
      </x:c>
      <x:c r="H21" s="33" t="n">
        <x:f>IF(I21="Hoàn thành",0,IF(ISBLANK(J21),G21,J21))</x:f>
        <x:v>8</x:v>
      </x:c>
      <x:c r="I21" s="35" t="str">
        <x:v>Chưa bắt đầu</x:v>
      </x:c>
      <x:c r="J21" s="36"/>
      <x:c r="K21" s="29" t="str">
        <x:v>Chỉ trả RoomType có ít nhất một phòng trống trọn khoảng ở; kiểm tra start &lt; end.</x:v>
      </x:c>
      <x:c r="L21" s="29" t="str">
        <x:v>Mặc định nhận phòng 12:00, trả phòng 10:00; chừa 2 giờ giữa hai lượt. Chốt DTO tìm phòng sớm để làm FE song song; tích hợp và nghiệm thu cuối tuần.</x:v>
      </x:c>
    </x:row>
    <x:row r="22" ht="64" customHeight="1">
      <x:c r="A22" s="30" t="str">
        <x:v>M4-01</x:v>
      </x:c>
      <x:c r="B22" s="30" t="str">
        <x:v>Giá</x:v>
      </x:c>
      <x:c r="C22" s="30" t="str">
        <x:v>Chốt hợp đồng API báo giá và giá cơ bản</x:v>
      </x:c>
      <x:c r="D22" s="30" t="str">
        <x:v>Đình Đạt</x:v>
      </x:c>
      <x:c r="E22" s="30" t="str">
        <x:v>P0</x:v>
      </x:c>
      <x:c r="F22" s="30" t="str">
        <x:v>M2-01, M3-01</x:v>
      </x:c>
      <x:c r="G22" s="34" t="n">
        <x:v>5</x:v>
      </x:c>
      <x:c r="H22" s="34" t="n">
        <x:f>IF(I22="Hoàn thành",0,IF(ISBLANK(J22),G22,J22))</x:f>
        <x:v>5</x:v>
      </x:c>
      <x:c r="I22" s="35" t="str">
        <x:v>Chưa bắt đầu</x:v>
      </x:c>
      <x:c r="J22" s="36"/>
      <x:c r="K22" s="30" t="str">
        <x:v>Bảng giá theo RoomType; DTO quote thống nhất với Booking; tiền dùng BigDecimal.</x:v>
      </x:c>
      <x:c r="L22" s="30" t="str">
        <x:v>Khách chọn RoomType; backend tự gán một phòng vật lý khi giữ chỗ.</x:v>
      </x:c>
    </x:row>
    <x:row r="23" ht="64" customHeight="1">
      <x:c r="A23" s="29" t="str">
        <x:v>M4-02</x:v>
      </x:c>
      <x:c r="B23" s="29" t="str">
        <x:v>Giá/Loyalty</x:v>
      </x:c>
      <x:c r="C23" s="29" t="str">
        <x:v>Tính quote và snapshot chiết khấu</x:v>
      </x:c>
      <x:c r="D23" s="29" t="str">
        <x:v>Đình Đạt</x:v>
      </x:c>
      <x:c r="E23" s="29" t="str">
        <x:v>P0</x:v>
      </x:c>
      <x:c r="F23" s="29" t="str">
        <x:v>M4-01, M1-04</x:v>
      </x:c>
      <x:c r="G23" s="33" t="n">
        <x:v>8</x:v>
      </x:c>
      <x:c r="H23" s="33" t="n">
        <x:f>IF(I23="Hoàn thành",0,IF(ISBLANK(J23),G23,J23))</x:f>
        <x:v>8</x:v>
      </x:c>
      <x:c r="I23" s="35" t="str">
        <x:v>Chưa bắt đầu</x:v>
      </x:c>
      <x:c r="J23" s="36"/>
      <x:c r="K23" s="29" t="str">
        <x:v>Quote tính số đêm × giá; VIP 10%, Diamond 15%; booking lưu giá gốc, %, số thực thu.</x:v>
      </x:c>
      <x:c r="L23" s="29" t="str">
        <x:v>Snapshot không đổi khi sau này khách thăng hạng.</x:v>
      </x:c>
    </x:row>
    <x:row r="24" ht="64" customHeight="1">
      <x:c r="A24" s="30" t="str">
        <x:v>M5-01</x:v>
      </x:c>
      <x:c r="B24" s="30" t="str">
        <x:v>Frontend</x:v>
      </x:c>
      <x:c r="C24" s="30" t="str">
        <x:v>Khởi tạo React, router và API client</x:v>
      </x:c>
      <x:c r="D24" s="30" t="str">
        <x:v>Thông Đạt</x:v>
      </x:c>
      <x:c r="E24" s="30" t="str">
        <x:v>P0</x:v>
      </x:c>
      <x:c r="F24" s="30" t="str">
        <x:v>M1-01</x:v>
      </x:c>
      <x:c r="G24" s="34" t="n">
        <x:v>6</x:v>
      </x:c>
      <x:c r="H24" s="34" t="n">
        <x:f>IF(I24="Hoàn thành",0,IF(ISBLANK(J24),G24,J24))</x:f>
        <x:v>1</x:v>
      </x:c>
      <x:c r="I24" s="35" t="str">
        <x:v>Chờ review</x:v>
      </x:c>
      <x:c r="J24" s="36" t="n">
        <x:v>1</x:v>
      </x:c>
      <x:c r="K24" s="30" t="str">
        <x:v>App chạy được; cấu hình môi trường, layout guest/staff, xử lý lỗi API chung.</x:v>
      </x:c>
      <x:c r="L24" s="30" t="str">
        <x:v>Giao diện tối thiểu, ưu tiên luồng chạy được. Có FE mẫu trên main; Thông Đạt nhận bàn giao và nghiệm thu, ước lượng còn 1 giờ.</x:v>
      </x:c>
    </x:row>
    <x:row r="25" ht="64" customHeight="1">
      <x:c r="A25" s="29" t="str">
        <x:v>M3-05</x:v>
      </x:c>
      <x:c r="B25" s="29" t="str">
        <x:v>Frontend/Booking</x:v>
      </x:c>
      <x:c r="C25" s="29" t="str">
        <x:v>Trang tìm loại phòng còn trống</x:v>
      </x:c>
      <x:c r="D25" s="29" t="str">
        <x:v>Thanh Binh</x:v>
      </x:c>
      <x:c r="E25" s="29" t="str">
        <x:v>P0</x:v>
      </x:c>
      <x:c r="F25" s="29" t="str">
        <x:v>M3-02, M5-01</x:v>
      </x:c>
      <x:c r="G25" s="33" t="n">
        <x:v>7</x:v>
      </x:c>
      <x:c r="H25" s="33" t="n">
        <x:f>IF(I25="Hoàn thành",0,IF(ISBLANK(J25),G25,J25))</x:f>
        <x:v>7</x:v>
      </x:c>
      <x:c r="I25" s="35" t="str">
        <x:v>Chưa bắt đầu</x:v>
      </x:c>
      <x:c r="J25" s="36"/>
      <x:c r="K25" s="29" t="str">
        <x:v>Guest chọn ngày/số khách, xem kết quả và lỗi hết phòng rõ ràng.</x:v>
      </x:c>
      <x:c r="L25" s="29" t="str">
        <x:v>Không hiển thị số phòng vật lý cho khách. Có thể dựng form theo DTO đã chốt; chỉ nghiệm thu sau khi nối API tìm phòng thật.</x:v>
      </x:c>
    </x:row>
    <x:row r="26" ht="64" customHeight="1">
      <x:c r="A26" s="30" t="str">
        <x:v>M5-02</x:v>
      </x:c>
      <x:c r="B26" s="30" t="str">
        <x:v>Frontend/Auth</x:v>
      </x:c>
      <x:c r="C26" s="30" t="str">
        <x:v>Màn hình login và route theo role</x:v>
      </x:c>
      <x:c r="D26" s="30" t="str">
        <x:v>Thông Đạt</x:v>
      </x:c>
      <x:c r="E26" s="30" t="str">
        <x:v>P0</x:v>
      </x:c>
      <x:c r="F26" s="30" t="str">
        <x:v>M1-03, M5-01</x:v>
      </x:c>
      <x:c r="G26" s="34" t="n">
        <x:v>6</x:v>
      </x:c>
      <x:c r="H26" s="34" t="n">
        <x:f>IF(I26="Hoàn thành",0,IF(ISBLANK(J26),G26,J26))</x:f>
        <x:v>1</x:v>
      </x:c>
      <x:c r="I26" s="35" t="str">
        <x:v>Chờ review</x:v>
      </x:c>
      <x:c r="J26" s="36" t="n">
        <x:v>1</x:v>
      </x:c>
      <x:c r="K26" s="30" t="str">
        <x:v>Đăng nhập được; guest/staff/admin vào đúng trang; logout xóa session.</x:v>
      </x:c>
      <x:c r="L26" s="30" t="str">
        <x:v>Ẩn menu không thay thế kiểm tra quyền ở backend. Form Auth đã nối API thật; Thông Đạt nghiệm thu role, reload, logout, mobile; còn 1 giờ.</x:v>
      </x:c>
    </x:row>
  </x:sheetData>
  <x:mergeCells>
    <x:mergeCell ref="E4:F4"/>
  </x:mergeCells>
  <x:conditionalFormatting sqref="I11:I26">
    <x:cfRule type="containsText" dxfId="0" priority="1" operator="containsText" text="Hoàn thành"/>
    <x:cfRule type="containsText" dxfId="1" priority="2" operator="containsText" text="Bị chặn"/>
    <x:cfRule type="containsText" dxfId="2" priority="3" operator="containsText" text="Chờ review"/>
  </x:conditionalFormatting>
  <x:conditionalFormatting sqref="E11:E26">
    <x:cfRule type="containsText" dxfId="3" priority="4" operator="containsText" text="P0"/>
  </x:conditionalFormatting>
  <x:dataValidations count="2">
    <x:dataValidation type="list" sqref="I11:I26">
      <x:formula1>"Chưa bắt đầu,Đang làm,Chờ review,Hoàn thành,Bị chặn"</x:formula1>
    </x:dataValidation>
    <x:dataValidation type="decimal" operator="between" sqref="J11:J26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9dea2a49d343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.880000114440918" hidden="0" customWidth="1"/>
    <x:col min="2" max="2" width="15" hidden="0" customWidth="1"/>
    <x:col min="3" max="3" width="38.75" hidden="0" customWidth="1"/>
    <x:col min="4" max="4" width="15.630000114440918" hidden="0" customWidth="1"/>
    <x:col min="5" max="5" width="8.25" hidden="0" customWidth="1"/>
    <x:col min="6" max="6" width="21.8799991607666" hidden="0" customWidth="1"/>
    <x:col min="7" max="7" width="9.130000114440918" hidden="0" customWidth="1"/>
    <x:col min="8" max="8" width="10.380000114440918" hidden="0" customWidth="1"/>
    <x:col min="9" max="9" width="18.75" hidden="0" customWidth="1"/>
    <x:col min="10" max="10" width="13.130000114440918" hidden="0" customWidth="1"/>
    <x:col min="11" max="11" width="53.75" hidden="0" customWidth="1"/>
    <x:col min="12" max="12" width="47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SPRINT 2 — TUẦN 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Từ ngày</x:v>
      </x:c>
      <x:c r="B4" s="5" t="n">
        <x:f>'Tổng quan'!B10</x:f>
        <x:v>46314</x:v>
      </x:c>
      <x:c r="C4" s="2"/>
      <x:c r="D4" s="2" t="str">
        <x:v>Đến ngày</x:v>
      </x:c>
      <x:c r="E4" s="7" t="n">
        <x:f>'Tổng quan'!C10</x:f>
        <x:v>46320</x:v>
      </x:c>
      <x:c r="F4" s="7"/>
      <x:c r="G4" s="2" t="str">
        <x:v>Giờ còn</x:v>
      </x:c>
      <x:c r="H4" s="2" t="n">
        <x:f>SUM(H11:H19)</x:f>
        <x:v>61</x:v>
      </x:c>
      <x:c r="I4" s="2"/>
      <x:c r="J4" s="2" t="str">
        <x:v>P0 chưa xong</x:v>
      </x:c>
      <x:c r="K4" s="8" t="n">
        <x:f>COUNTIFS(E11:E19,"P0",I11:I19,"&lt;&gt;Hoàn thành")</x:f>
        <x:v>6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Mục tiêu: API giữ chỗ 15 phút, thanh toán demo, job hết hạn; API RoomBlock và lịch phòng cho staff.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Giữ chỗ → trả tiền demo → job hết hạn; kiểm tra tranh chấp phòng. Bảo Long review PR và hỗ trợ tích hợp.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8" t="str">
        <x:v>Theo thứ tự phụ thuộc; có thể code song song sau khi chốt DTO. Ô vàng: trạng thái/ước lượng còn lại. Chỉ đánh dấu xong sau khi đáp ứng tiêu chí.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52" customHeight="1">
      <x:c r="A10" s="18" t="str">
        <x:v>Task ID</x:v>
      </x:c>
      <x:c r="B10" s="19" t="str">
        <x:v>Module</x:v>
      </x:c>
      <x:c r="C10" s="19" t="str">
        <x:v>Công việc</x:v>
      </x:c>
      <x:c r="D10" s="19" t="str">
        <x:v>Phụ trách</x:v>
      </x:c>
      <x:c r="E10" s="19" t="str">
        <x:v>Ưu tiên</x:v>
      </x:c>
      <x:c r="F10" s="19" t="str">
        <x:v>Phụ thuộc</x:v>
      </x:c>
      <x:c r="G10" s="19" t="str">
        <x:v>Giờ gốc</x:v>
      </x:c>
      <x:c r="H10" s="19" t="str">
        <x:v>Còn lại (giờ)</x:v>
      </x:c>
      <x:c r="I10" s="19" t="str">
        <x:v>Trạng thái</x:v>
      </x:c>
      <x:c r="J10" s="19" t="str">
        <x:v>Ước lượng còn (giờ)</x:v>
      </x:c>
      <x:c r="K10" s="19" t="str">
        <x:v>Tiêu chí hoàn thành</x:v>
      </x:c>
      <x:c r="L10" s="20" t="str">
        <x:v>Ghi chú / bàn giao</x:v>
      </x:c>
    </x:row>
    <x:row r="11" ht="64" customHeight="1">
      <x:c r="A11" s="29" t="str">
        <x:v>M2-06</x:v>
      </x:c>
      <x:c r="B11" s="29" t="str">
        <x:v>Staff/Phòng</x:v>
      </x:c>
      <x:c r="C11" s="29" t="str">
        <x:v>API chặn hoặc mở phòng theo khoảng</x:v>
      </x:c>
      <x:c r="D11" s="29" t="str">
        <x:v>Phước Sang</x:v>
      </x:c>
      <x:c r="E11" s="29" t="str">
        <x:v>P0</x:v>
      </x:c>
      <x:c r="F11" s="29" t="str">
        <x:v>M2-03, M1-05, M2-04</x:v>
      </x:c>
      <x:c r="G11" s="33" t="n">
        <x:v>7</x:v>
      </x:c>
      <x:c r="H11" s="33" t="n">
        <x:f>IF(I11="Hoàn thành",0,IF(ISBLANK(J11),G11,J11))</x:f>
        <x:v>7</x:v>
      </x:c>
      <x:c r="I11" s="35" t="str">
        <x:v>Chưa bắt đầu</x:v>
      </x:c>
      <x:c r="J11" s="36"/>
      <x:c r="K11" s="29" t="str">
        <x:v>Staff tạo/xóa RoomBlock có lý do; từ chối nếu đụng hold còn hạn hoặc booking đã xác nhận.</x:v>
      </x:c>
      <x:c r="L11" s="29" t="str">
        <x:v>Mở phòng chỉ xóa block tương ứng, không sửa booking. Giao API lịch/block đã kiểm tra RBAC cho Thông Đạt.</x:v>
      </x:c>
    </x:row>
    <x:row r="12" ht="64" customHeight="1">
      <x:c r="A12" s="30" t="str">
        <x:v>M3-03</x:v>
      </x:c>
      <x:c r="B12" s="30" t="str">
        <x:v>Booking</x:v>
      </x:c>
      <x:c r="C12" s="30" t="str">
        <x:v>Tạo booking giữ chỗ 15 phút</x:v>
      </x:c>
      <x:c r="D12" s="30" t="str">
        <x:v>Thanh Binh</x:v>
      </x:c>
      <x:c r="E12" s="30" t="str">
        <x:v>P0</x:v>
      </x:c>
      <x:c r="F12" s="30" t="str">
        <x:v>M3-02, M4-02</x:v>
      </x:c>
      <x:c r="G12" s="34" t="n">
        <x:v>10</x:v>
      </x:c>
      <x:c r="H12" s="34" t="n">
        <x:f>IF(I12="Hoàn thành",0,IF(ISBLANK(J12),G12,J12))</x:f>
        <x:v>10</x:v>
      </x:c>
      <x:c r="I12" s="35" t="str">
        <x:v>Chưa bắt đầu</x:v>
      </x:c>
      <x:c r="J12" s="36"/>
      <x:c r="K12" s="30" t="str">
        <x:v>Một transaction chọn/khóa phòng vật lý trống và tạo PENDING_PAYMENT.</x:v>
      </x:c>
      <x:c r="L12" s="30" t="str">
        <x:v>Khách chỉ chọn loại phòng; backend gán roomId và chống hai hold cùng phòng. Giao bookingId, holdExpiresAt và giá snapshot cho payment/FE.</x:v>
      </x:c>
    </x:row>
    <x:row r="13" ht="64" customHeight="1">
      <x:c r="A13" s="29" t="str">
        <x:v>M3-04</x:v>
      </x:c>
      <x:c r="B13" s="29" t="str">
        <x:v>Booking</x:v>
      </x:c>
      <x:c r="C13" s="29" t="str">
        <x:v>Job hết hold và tự hoàn tất lượt ở</x:v>
      </x:c>
      <x:c r="D13" s="29" t="str">
        <x:v>Thanh Binh</x:v>
      </x:c>
      <x:c r="E13" s="29" t="str">
        <x:v>P0</x:v>
      </x:c>
      <x:c r="F13" s="29" t="str">
        <x:v>M3-03</x:v>
      </x:c>
      <x:c r="G13" s="33" t="n">
        <x:v>7</x:v>
      </x:c>
      <x:c r="H13" s="33" t="n">
        <x:f>IF(I13="Hoàn thành",0,IF(ISBLANK(J13),G13,J13))</x:f>
        <x:v>7</x:v>
      </x:c>
      <x:c r="I13" s="35" t="str">
        <x:v>Chưa bắt đầu</x:v>
      </x:c>
      <x:c r="J13" s="36"/>
      <x:c r="K13" s="29" t="str">
        <x:v>Hết 15 phút thì EXPIRED; booking đã trả tiền tự COMPLETED sau endAt, mỗi lần đúng một lần.</x:v>
      </x:c>
      <x:c r="L13" s="29" t="str">
        <x:v>Chuyển trạng thái nguyên tử khi webhook đến sát hạn; không cần staff check-out. Phối hợp payment ở sát hạn; cung cấp booking COMPLETED cho loyalty.</x:v>
      </x:c>
    </x:row>
    <x:row r="14" ht="64" customHeight="1">
      <x:c r="A14" s="30" t="str">
        <x:v>M3-07</x:v>
      </x:c>
      <x:c r="B14" s="30" t="str">
        <x:v>Kiểm thử</x:v>
      </x:c>
      <x:c r="C14" s="30" t="str">
        <x:v>Test tranh chấp phòng và hold hết hạn</x:v>
      </x:c>
      <x:c r="D14" s="30" t="str">
        <x:v>Thanh Binh</x:v>
      </x:c>
      <x:c r="E14" s="30" t="str">
        <x:v>P0</x:v>
      </x:c>
      <x:c r="F14" s="30" t="str">
        <x:v>M3-03, M3-04</x:v>
      </x:c>
      <x:c r="G14" s="34" t="n">
        <x:v>6</x:v>
      </x:c>
      <x:c r="H14" s="34" t="n">
        <x:f>IF(I14="Hoàn thành",0,IF(ISBLANK(J14),G14,J14))</x:f>
        <x:v>6</x:v>
      </x:c>
      <x:c r="I14" s="35" t="str">
        <x:v>Chưa bắt đầu</x:v>
      </x:c>
      <x:c r="J14" s="36"/>
      <x:c r="K14" s="30" t="str">
        <x:v>Hai yêu cầu tranh cùng phòng chỉ một thành công; hold hết hạn cho đặt lại.</x:v>
      </x:c>
      <x:c r="L14" s="30" t="str">
        <x:v>Test hai lượt ở 8/10 12:00–9/10 10:00 và 9/10 12:00–10/10 10:00.</x:v>
      </x:c>
    </x:row>
    <x:row r="15" ht="64" customHeight="1">
      <x:c r="A15" s="29" t="str">
        <x:v>M4-03</x:v>
      </x:c>
      <x:c r="B15" s="29" t="str">
        <x:v>Thanh toán</x:v>
      </x:c>
      <x:c r="C15" s="29" t="str">
        <x:v>Luồng thanh toán mô phỏng cho demo</x:v>
      </x:c>
      <x:c r="D15" s="29" t="str">
        <x:v>Đình Đạt</x:v>
      </x:c>
      <x:c r="E15" s="29" t="str">
        <x:v>P0</x:v>
      </x:c>
      <x:c r="F15" s="29" t="str">
        <x:v>M3-03</x:v>
      </x:c>
      <x:c r="G15" s="33" t="n">
        <x:v>5</x:v>
      </x:c>
      <x:c r="H15" s="33" t="n">
        <x:f>IF(I15="Hoàn thành",0,IF(ISBLANK(J15),G15,J15))</x:f>
        <x:v>5</x:v>
      </x:c>
      <x:c r="I15" s="35" t="str">
        <x:v>Chưa bắt đầu</x:v>
      </x:c>
      <x:c r="J15" s="36"/>
      <x:c r="K15" s="29" t="str">
        <x:v>Thanh toán demo xác nhận booking; lệnh lặp không ghi nhận tiền hai lần.</x:v>
      </x:c>
      <x:c r="L15" s="29" t="str">
        <x:v>Cho phép demo không phụ thuộc cổng thanh toán ngoài. P0 bắt buộc; giao kết quả thanh toán idempotent cho Binh và FE.</x:v>
      </x:c>
    </x:row>
    <x:row r="16" ht="64" customHeight="1">
      <x:c r="A16" s="30" t="str">
        <x:v>M5-04</x:v>
      </x:c>
      <x:c r="B16" s="30" t="str">
        <x:v>Staff/Phòng</x:v>
      </x:c>
      <x:c r="C16" s="30" t="str">
        <x:v>Lịch phòng available theo ngày giờ</x:v>
      </x:c>
      <x:c r="D16" s="30" t="str">
        <x:v>Thông Đạt</x:v>
      </x:c>
      <x:c r="E16" s="30" t="str">
        <x:v>P0</x:v>
      </x:c>
      <x:c r="F16" s="30" t="str">
        <x:v>M2-06, M5-01</x:v>
      </x:c>
      <x:c r="G16" s="34" t="n">
        <x:v>9</x:v>
      </x:c>
      <x:c r="H16" s="34" t="n">
        <x:f>IF(I16="Hoàn thành",0,IF(ISBLANK(J16),G16,J16))</x:f>
        <x:v>9</x:v>
      </x:c>
      <x:c r="I16" s="35" t="str">
        <x:v>Chưa bắt đầu</x:v>
      </x:c>
      <x:c r="J16" s="36"/>
      <x:c r="K16" s="30" t="str">
        <x:v>Staff xem lịch đặt và các khoảng phòng bị chặn theo từng phòng vật lý.</x:v>
      </x:c>
      <x:c r="L16" s="30" t="str">
        <x:v>Lịch phân biệt booking và block; không có nút check-in/check-out. Nối API lịch thật, phân biệt booking và block; hoàn tất trước UI chặn/mở.</x:v>
      </x:c>
    </x:row>
    <x:row r="17" ht="64" customHeight="1">
      <x:c r="A17" s="29" t="str">
        <x:v>M2-05</x:v>
      </x:c>
      <x:c r="B17" s="29" t="str">
        <x:v>Kiểm thử</x:v>
      </x:c>
      <x:c r="C17" s="29" t="str">
        <x:v>Test RoomBlock tác động tìm phòng</x:v>
      </x:c>
      <x:c r="D17" s="29" t="str">
        <x:v>Phước Sang</x:v>
      </x:c>
      <x:c r="E17" s="29" t="str">
        <x:v>P1</x:v>
      </x:c>
      <x:c r="F17" s="29" t="str">
        <x:v>M2-04, M3-02</x:v>
      </x:c>
      <x:c r="G17" s="33" t="n">
        <x:v>5</x:v>
      </x:c>
      <x:c r="H17" s="33" t="n">
        <x:f>IF(I17="Hoàn thành",0,IF(ISBLANK(J17),G17,J17))</x:f>
        <x:v>5</x:v>
      </x:c>
      <x:c r="I17" s="35" t="str">
        <x:v>Chưa bắt đầu</x:v>
      </x:c>
      <x:c r="J17" s="36"/>
      <x:c r="K17" s="29" t="str">
        <x:v>Phòng bị chặn đúng khoảng không xuất hiện; mở lại chỉ khi không vướng booking.</x:v>
      </x:c>
      <x:c r="L17" s="29" t="str">
        <x:v>Không cho block mới phủ lên booking đã CONFIRMED.</x:v>
      </x:c>
    </x:row>
    <x:row r="18" ht="64" customHeight="1">
      <x:c r="A18" s="30" t="str">
        <x:v>M4-06</x:v>
      </x:c>
      <x:c r="B18" s="30" t="str">
        <x:v>Chứng từ</x:v>
      </x:c>
      <x:c r="C18" s="30" t="str">
        <x:v>Xuất PDF xác nhận đặt phòng</x:v>
      </x:c>
      <x:c r="D18" s="30" t="str">
        <x:v>Đình Đạt</x:v>
      </x:c>
      <x:c r="E18" s="30" t="str">
        <x:v>P1</x:v>
      </x:c>
      <x:c r="F18" s="30" t="str">
        <x:v>M4-03, M3-03</x:v>
      </x:c>
      <x:c r="G18" s="34" t="n">
        <x:v>6</x:v>
      </x:c>
      <x:c r="H18" s="34" t="n">
        <x:f>IF(I18="Hoàn thành",0,IF(ISBLANK(J18),G18,J18))</x:f>
        <x:v>6</x:v>
      </x:c>
      <x:c r="I18" s="35" t="str">
        <x:v>Chưa bắt đầu</x:v>
      </x:c>
      <x:c r="J18" s="36"/>
      <x:c r="K18" s="30" t="str">
        <x:v>PDF có mã booking, khoảng ở, giá snapshot, giao dịch và số đã thanh toán.</x:v>
      </x:c>
      <x:c r="L18" s="30" t="str">
        <x:v>Chứng từ demo, không gắn nhãn hóa đơn điện tử hợp lệ. P1; chỉ bắt đầu khi thanh toán demo P0 đã chạy. Có thể chuyển sang S4 nếu cần.</x:v>
      </x:c>
    </x:row>
    <x:row r="19" ht="64" customHeight="1">
      <x:c r="A19" s="29" t="str">
        <x:v>M5-03</x:v>
      </x:c>
      <x:c r="B19" s="29" t="str">
        <x:v>Staff</x:v>
      </x:c>
      <x:c r="C19" s="29" t="str">
        <x:v>Trang tra cứu booking cho staff</x:v>
      </x:c>
      <x:c r="D19" s="29" t="str">
        <x:v>Thông Đạt</x:v>
      </x:c>
      <x:c r="E19" s="29" t="str">
        <x:v>P1</x:v>
      </x:c>
      <x:c r="F19" s="29" t="str">
        <x:v>M3-03, M5-01</x:v>
      </x:c>
      <x:c r="G19" s="33" t="n">
        <x:v>6</x:v>
      </x:c>
      <x:c r="H19" s="33" t="n">
        <x:f>IF(I19="Hoàn thành",0,IF(ISBLANK(J19),G19,J19))</x:f>
        <x:v>6</x:v>
      </x:c>
      <x:c r="I19" s="35" t="str">
        <x:v>Chưa bắt đầu</x:v>
      </x:c>
      <x:c r="J19" s="36"/>
      <x:c r="K19" s="29" t="str">
        <x:v>Tìm theo mã booking/SĐT; staff xem lịch đặt và trạng thái để hỗ trợ khách.</x:v>
      </x:c>
      <x:c r="L19" s="29" t="str">
        <x:v>Che dữ liệu cá nhân trên kết quả không liên quan.</x:v>
      </x:c>
    </x:row>
  </x:sheetData>
  <x:mergeCells>
    <x:mergeCell ref="E4:F4"/>
  </x:mergeCells>
  <x:conditionalFormatting sqref="I11:I19">
    <x:cfRule type="containsText" dxfId="4" priority="1" operator="containsText" text="Hoàn thành"/>
    <x:cfRule type="containsText" dxfId="5" priority="2" operator="containsText" text="Bị chặn"/>
    <x:cfRule type="containsText" dxfId="6" priority="3" operator="containsText" text="Chờ review"/>
  </x:conditionalFormatting>
  <x:conditionalFormatting sqref="E11:E19">
    <x:cfRule type="containsText" dxfId="7" priority="4" operator="containsText" text="P0"/>
  </x:conditionalFormatting>
  <x:dataValidations count="2">
    <x:dataValidation type="list" sqref="I11:I19">
      <x:formula1>"Chưa bắt đầu,Đang làm,Chờ review,Hoàn thành,Bị chặn"</x:formula1>
    </x:dataValidation>
    <x:dataValidation type="decimal" operator="between" sqref="J11:J19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ccf65143f8d4c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.880000114440918" hidden="0" customWidth="1"/>
    <x:col min="2" max="2" width="15" hidden="0" customWidth="1"/>
    <x:col min="3" max="3" width="38.75" hidden="0" customWidth="1"/>
    <x:col min="4" max="4" width="15.630000114440918" hidden="0" customWidth="1"/>
    <x:col min="5" max="5" width="8.25" hidden="0" customWidth="1"/>
    <x:col min="6" max="6" width="21.8799991607666" hidden="0" customWidth="1"/>
    <x:col min="7" max="7" width="9.130000114440918" hidden="0" customWidth="1"/>
    <x:col min="8" max="8" width="10.380000114440918" hidden="0" customWidth="1"/>
    <x:col min="9" max="9" width="18.75" hidden="0" customWidth="1"/>
    <x:col min="10" max="10" width="13.130000114440918" hidden="0" customWidth="1"/>
    <x:col min="11" max="11" width="53.75" hidden="0" customWidth="1"/>
    <x:col min="12" max="12" width="47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SPRINT 3 — TUẦN 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Từ ngày</x:v>
      </x:c>
      <x:c r="B4" s="5" t="n">
        <x:f>'Tổng quan'!B11</x:f>
        <x:v>46321</x:v>
      </x:c>
      <x:c r="C4" s="2"/>
      <x:c r="D4" s="2" t="str">
        <x:v>Đến ngày</x:v>
      </x:c>
      <x:c r="E4" s="7" t="n">
        <x:f>'Tổng quan'!C11</x:f>
        <x:v>46327</x:v>
      </x:c>
      <x:c r="F4" s="7"/>
      <x:c r="G4" s="2" t="str">
        <x:v>Giờ còn</x:v>
      </x:c>
      <x:c r="H4" s="2" t="n">
        <x:f>SUM(H11:H19)</x:f>
        <x:v>65</x:v>
      </x:c>
      <x:c r="I4" s="2"/>
      <x:c r="J4" s="2" t="str">
        <x:v>P0 chưa xong</x:v>
      </x:c>
      <x:c r="K4" s="8" t="n">
        <x:f>COUNTIFS(E11:E19,"P0",I11:I19,"&lt;&gt;Hoàn thành")</x:f>
        <x:v>2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Mục tiêu: Hoàn tất luồng đặt/thanh toán trên web và UI chặn/mở phòng; P1 khi P0 của module đã ổn.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Nghiệm thu P0 booking UI + RoomBlock UI trước; VNPay/loyalty/hủy booking là P1 làm theo năng lực còn lại.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8" t="str">
        <x:v>Theo thứ tự phụ thuộc; có thể code song song sau khi chốt DTO. Ô vàng: trạng thái/ước lượng còn lại. Chỉ đánh dấu xong sau khi đáp ứng tiêu chí.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52" customHeight="1">
      <x:c r="A10" s="18" t="str">
        <x:v>Task ID</x:v>
      </x:c>
      <x:c r="B10" s="19" t="str">
        <x:v>Module</x:v>
      </x:c>
      <x:c r="C10" s="19" t="str">
        <x:v>Công việc</x:v>
      </x:c>
      <x:c r="D10" s="19" t="str">
        <x:v>Phụ trách</x:v>
      </x:c>
      <x:c r="E10" s="19" t="str">
        <x:v>Ưu tiên</x:v>
      </x:c>
      <x:c r="F10" s="19" t="str">
        <x:v>Phụ thuộc</x:v>
      </x:c>
      <x:c r="G10" s="19" t="str">
        <x:v>Giờ gốc</x:v>
      </x:c>
      <x:c r="H10" s="19" t="str">
        <x:v>Còn lại (giờ)</x:v>
      </x:c>
      <x:c r="I10" s="19" t="str">
        <x:v>Trạng thái</x:v>
      </x:c>
      <x:c r="J10" s="19" t="str">
        <x:v>Ước lượng còn (giờ)</x:v>
      </x:c>
      <x:c r="K10" s="19" t="str">
        <x:v>Tiêu chí hoàn thành</x:v>
      </x:c>
      <x:c r="L10" s="20" t="str">
        <x:v>Ghi chú / bàn giao</x:v>
      </x:c>
    </x:row>
    <x:row r="11" ht="64" customHeight="1">
      <x:c r="A11" s="29" t="str">
        <x:v>M3-06</x:v>
      </x:c>
      <x:c r="B11" s="29" t="str">
        <x:v>Frontend/Booking</x:v>
      </x:c>
      <x:c r="C11" s="29" t="str">
        <x:v>Form đặt phòng và trạng thái giữ chỗ</x:v>
      </x:c>
      <x:c r="D11" s="29" t="str">
        <x:v>Thanh Binh</x:v>
      </x:c>
      <x:c r="E11" s="29" t="str">
        <x:v>P0</x:v>
      </x:c>
      <x:c r="F11" s="29" t="str">
        <x:v>M3-03, M4-03, M3-05</x:v>
      </x:c>
      <x:c r="G11" s="33" t="n">
        <x:v>8</x:v>
      </x:c>
      <x:c r="H11" s="33" t="n">
        <x:f>IF(I11="Hoàn thành",0,IF(ISBLANK(J11),G11,J11))</x:f>
        <x:v>8</x:v>
      </x:c>
      <x:c r="I11" s="35" t="str">
        <x:v>Chưa bắt đầu</x:v>
      </x:c>
      <x:c r="J11" s="36"/>
      <x:c r="K11" s="29" t="str">
        <x:v>Customer đã đăng nhập tạo booking, xem báo giá và thời gian giữ chỗ; thanh toán demo được; Guest được yêu cầu đăng nhập.</x:v>
      </x:c>
      <x:c r="L11" s="29" t="str">
        <x:v>Hiện giờ nhận 12:00/trả 10:00 và giá snapshot từ server. Nối hold + quote + thanh toán demo; Guest phải đăng nhập trước khi tạo booking.</x:v>
      </x:c>
    </x:row>
    <x:row r="12" ht="64" customHeight="1">
      <x:c r="A12" s="30" t="str">
        <x:v>M5-05</x:v>
      </x:c>
      <x:c r="B12" s="30" t="str">
        <x:v>Staff/Phòng</x:v>
      </x:c>
      <x:c r="C12" s="30" t="str">
        <x:v>UI chặn/mở phòng và nhập lý do</x:v>
      </x:c>
      <x:c r="D12" s="30" t="str">
        <x:v>Thông Đạt</x:v>
      </x:c>
      <x:c r="E12" s="30" t="str">
        <x:v>P0</x:v>
      </x:c>
      <x:c r="F12" s="30" t="str">
        <x:v>M5-04, M2-06</x:v>
      </x:c>
      <x:c r="G12" s="34" t="n">
        <x:v>9</x:v>
      </x:c>
      <x:c r="H12" s="34" t="n">
        <x:f>IF(I12="Hoàn thành",0,IF(ISBLANK(J12),G12,J12))</x:f>
        <x:v>9</x:v>
      </x:c>
      <x:c r="I12" s="35" t="str">
        <x:v>Chưa bắt đầu</x:v>
      </x:c>
      <x:c r="J12" s="36"/>
      <x:c r="K12" s="30" t="str">
        <x:v>Staff chọn phòng, khoảng thời gian, lý do; thấy lỗi khi đụng booking.</x:v>
      </x:c>
      <x:c r="L12" s="30" t="str">
        <x:v>Mở lại bằng cách gỡ đúng block; UI không tự quyết định availability. P0; xử lý xung đột từ server và mở lại đúng block.</x:v>
      </x:c>
    </x:row>
    <x:row r="13" ht="64" customHeight="1">
      <x:c r="A13" s="29" t="str">
        <x:v>M1-06</x:v>
      </x:c>
      <x:c r="B13" s="29" t="str">
        <x:v>Loyalty</x:v>
      </x:c>
      <x:c r="C13" s="29" t="str">
        <x:v>Cộng điểm và nâng hạng sau lượt ở</x:v>
      </x:c>
      <x:c r="D13" s="29" t="str">
        <x:v>Bảo Long</x:v>
      </x:c>
      <x:c r="E13" s="29" t="str">
        <x:v>P1</x:v>
      </x:c>
      <x:c r="F13" s="29" t="str">
        <x:v>M3-04, M1-04</x:v>
      </x:c>
      <x:c r="G13" s="33" t="n">
        <x:v>7</x:v>
      </x:c>
      <x:c r="H13" s="33" t="n">
        <x:f>IF(I13="Hoàn thành",0,IF(ISBLANK(J13),G13,J13))</x:f>
        <x:v>7</x:v>
      </x:c>
      <x:c r="I13" s="35" t="str">
        <x:v>Chưa bắt đầu</x:v>
      </x:c>
      <x:c r="J13" s="36"/>
      <x:c r="K13" s="29" t="str">
        <x:v>Chỉ booking đã thanh toán và COMPLETED được cộng điểm một lần.</x:v>
      </x:c>
      <x:c r="L13" s="29" t="str">
        <x:v>Hoàn tiền/hủy không tạo điểm. P1; dùng loyalty_awards để chống cộng lặp; không trì hoãn nghiệm thu MVP.</x:v>
      </x:c>
    </x:row>
    <x:row r="14" ht="64" customHeight="1">
      <x:c r="A14" s="30" t="str">
        <x:v>M1-07</x:v>
      </x:c>
      <x:c r="B14" s="30" t="str">
        <x:v>Tài khoản</x:v>
      </x:c>
      <x:c r="C14" s="30" t="str">
        <x:v>Lịch sử booking và điểm cho khách</x:v>
      </x:c>
      <x:c r="D14" s="30" t="str">
        <x:v>Bảo Long</x:v>
      </x:c>
      <x:c r="E14" s="30" t="str">
        <x:v>P1</x:v>
      </x:c>
      <x:c r="F14" s="30" t="str">
        <x:v>M1-06, M3-03</x:v>
      </x:c>
      <x:c r="G14" s="34" t="n">
        <x:v>6</x:v>
      </x:c>
      <x:c r="H14" s="34" t="n">
        <x:f>IF(I14="Hoàn thành",0,IF(ISBLANK(J14),G14,J14))</x:f>
        <x:v>6</x:v>
      </x:c>
      <x:c r="I14" s="35" t="str">
        <x:v>Chưa bắt đầu</x:v>
      </x:c>
      <x:c r="J14" s="36"/>
      <x:c r="K14" s="30" t="str">
        <x:v>Customer đã đăng nhập chỉ xem booking của mình, tổng chi tiêu, điểm và tier hiện tại.</x:v>
      </x:c>
      <x:c r="L14" s="30" t="str">
        <x:v>Không dùng tier hiện tại để tính lại giá booking cũ. P1; dữ liệu của Customer đã đăng nhập; kiểm tra quyền sở hữu booking.</x:v>
      </x:c>
    </x:row>
    <x:row r="15" ht="64" customHeight="1">
      <x:c r="A15" s="29" t="str">
        <x:v>M2-07</x:v>
      </x:c>
      <x:c r="B15" s="29" t="str">
        <x:v>Frontend/Phòng</x:v>
      </x:c>
      <x:c r="C15" s="29" t="str">
        <x:v>Trang danh mục phòng cho admin</x:v>
      </x:c>
      <x:c r="D15" s="29" t="str">
        <x:v>Phước Sang</x:v>
      </x:c>
      <x:c r="E15" s="29" t="str">
        <x:v>P1</x:v>
      </x:c>
      <x:c r="F15" s="29" t="str">
        <x:v>M2-02, M2-05, M5-01</x:v>
      </x:c>
      <x:c r="G15" s="33" t="n">
        <x:v>7</x:v>
      </x:c>
      <x:c r="H15" s="33" t="n">
        <x:f>IF(I15="Hoàn thành",0,IF(ISBLANK(J15),G15,J15))</x:f>
        <x:v>7</x:v>
      </x:c>
      <x:c r="I15" s="35" t="str">
        <x:v>Chưa bắt đầu</x:v>
      </x:c>
      <x:c r="J15" s="36"/>
      <x:c r="K15" s="29" t="str">
        <x:v>Admin thêm/sửa/ẩn phòng vật lý, lọc theo loại và xem các block sắp tới.</x:v>
      </x:c>
      <x:c r="L15" s="29" t="str">
        <x:v>Không xóa phòng đang có booking.</x:v>
      </x:c>
    </x:row>
    <x:row r="16" ht="64" customHeight="1">
      <x:c r="A16" s="30" t="str">
        <x:v>M3-08</x:v>
      </x:c>
      <x:c r="B16" s="30" t="str">
        <x:v>Booking</x:v>
      </x:c>
      <x:c r="C16" s="30" t="str">
        <x:v>Hủy booking chưa thanh toán</x:v>
      </x:c>
      <x:c r="D16" s="30" t="str">
        <x:v>Thanh Binh</x:v>
      </x:c>
      <x:c r="E16" s="30" t="str">
        <x:v>P1</x:v>
      </x:c>
      <x:c r="F16" s="30" t="str">
        <x:v>M3-03</x:v>
      </x:c>
      <x:c r="G16" s="34" t="n">
        <x:v>5</x:v>
      </x:c>
      <x:c r="H16" s="34" t="n">
        <x:f>IF(I16="Hoàn thành",0,IF(ISBLANK(J16),G16,J16))</x:f>
        <x:v>5</x:v>
      </x:c>
      <x:c r="I16" s="35" t="str">
        <x:v>Chưa bắt đầu</x:v>
      </x:c>
      <x:c r="J16" s="36"/>
      <x:c r="K16" s="30" t="str">
        <x:v>Khách hủy PENDING_PAYMENT; roomId hết bị giữ và phòng có thể được đặt lại.</x:v>
      </x:c>
      <x:c r="L16" s="30" t="str">
        <x:v>Booking đã trả tiền cần quy trình hoàn tiền riêng, ngoài phạm vi mini.</x:v>
      </x:c>
    </x:row>
    <x:row r="17" ht="64" customHeight="1">
      <x:c r="A17" s="29" t="str">
        <x:v>M4-04</x:v>
      </x:c>
      <x:c r="B17" s="29" t="str">
        <x:v>Thanh toán</x:v>
      </x:c>
      <x:c r="C17" s="29" t="str">
        <x:v>Tạo URL VNPay Sandbox</x:v>
      </x:c>
      <x:c r="D17" s="29" t="str">
        <x:v>Đình Đạt</x:v>
      </x:c>
      <x:c r="E17" s="29" t="str">
        <x:v>P1</x:v>
      </x:c>
      <x:c r="F17" s="29" t="str">
        <x:v>M4-03</x:v>
      </x:c>
      <x:c r="G17" s="33" t="n">
        <x:v>7</x:v>
      </x:c>
      <x:c r="H17" s="33" t="n">
        <x:f>IF(I17="Hoàn thành",0,IF(ISBLANK(J17),G17,J17))</x:f>
        <x:v>7</x:v>
      </x:c>
      <x:c r="I17" s="35" t="str">
        <x:v>Chưa bắt đầu</x:v>
      </x:c>
      <x:c r="J17" s="36"/>
      <x:c r="K17" s="29" t="str">
        <x:v>Tạo request hợp lệ gắn booking và số tiền snapshot; lưu payment attempt.</x:v>
      </x:c>
      <x:c r="L17" s="29" t="str">
        <x:v>Return URL chỉ để hiển thị, không xác nhận thanh toán. P1 tùy thời gian; giữ luồng thanh toán demo hoạt động song song.</x:v>
      </x:c>
    </x:row>
    <x:row r="18" ht="64" customHeight="1">
      <x:c r="A18" s="30" t="str">
        <x:v>M4-05</x:v>
      </x:c>
      <x:c r="B18" s="30" t="str">
        <x:v>Thanh toán</x:v>
      </x:c>
      <x:c r="C18" s="30" t="str">
        <x:v>Xử lý VNPay IPN idempotent</x:v>
      </x:c>
      <x:c r="D18" s="30" t="str">
        <x:v>Đình Đạt</x:v>
      </x:c>
      <x:c r="E18" s="30" t="str">
        <x:v>P1</x:v>
      </x:c>
      <x:c r="F18" s="30" t="str">
        <x:v>M4-04, M3-04</x:v>
      </x:c>
      <x:c r="G18" s="34" t="n">
        <x:v>9</x:v>
      </x:c>
      <x:c r="H18" s="34" t="n">
        <x:f>IF(I18="Hoàn thành",0,IF(ISBLANK(J18),G18,J18))</x:f>
        <x:v>9</x:v>
      </x:c>
      <x:c r="I18" s="35" t="str">
        <x:v>Chưa bắt đầu</x:v>
      </x:c>
      <x:c r="J18" s="36"/>
      <x:c r="K18" s="30" t="str">
        <x:v>Kiểm checksum, amount, mã giao dịch; IPN lặp chỉ xác nhận một lần.</x:v>
      </x:c>
      <x:c r="L18" s="30" t="str">
        <x:v>IPN đến sau khi hold hết hạn phải được xử lý rõ ràng. P1 tùy thời gian; callback/IPN không làm thanh toán lặp; phải xử lý hold hết hạn.</x:v>
      </x:c>
    </x:row>
    <x:row r="19" ht="64" customHeight="1">
      <x:c r="A19" s="29" t="str">
        <x:v>M5-08</x:v>
      </x:c>
      <x:c r="B19" s="29" t="str">
        <x:v>Staff/Booking</x:v>
      </x:c>
      <x:c r="C19" s="29" t="str">
        <x:v>Tổng quan booking theo ngày</x:v>
      </x:c>
      <x:c r="D19" s="29" t="str">
        <x:v>Thông Đạt</x:v>
      </x:c>
      <x:c r="E19" s="29" t="str">
        <x:v>P1</x:v>
      </x:c>
      <x:c r="F19" s="29" t="str">
        <x:v>M5-03, M5-04</x:v>
      </x:c>
      <x:c r="G19" s="33" t="n">
        <x:v>7</x:v>
      </x:c>
      <x:c r="H19" s="33" t="n">
        <x:f>IF(I19="Hoàn thành",0,IF(ISBLANK(J19),G19,J19))</x:f>
        <x:v>7</x:v>
      </x:c>
      <x:c r="I19" s="35" t="str">
        <x:v>Chưa bắt đầu</x:v>
      </x:c>
      <x:c r="J19" s="36"/>
      <x:c r="K19" s="29" t="str">
        <x:v>Staff lọc booking theo ngày, loại phòng và trạng thái để hỗ trợ khách.</x:v>
      </x:c>
      <x:c r="L19" s="29" t="str">
        <x:v>Danh sách chỉ đọc; không có check-in/check-out thủ công.</x:v>
      </x:c>
    </x:row>
  </x:sheetData>
  <x:mergeCells>
    <x:mergeCell ref="E4:F4"/>
  </x:mergeCells>
  <x:conditionalFormatting sqref="I11:I19">
    <x:cfRule type="containsText" dxfId="8" priority="1" operator="containsText" text="Hoàn thành"/>
    <x:cfRule type="containsText" dxfId="9" priority="2" operator="containsText" text="Bị chặn"/>
    <x:cfRule type="containsText" dxfId="10" priority="3" operator="containsText" text="Chờ review"/>
  </x:conditionalFormatting>
  <x:conditionalFormatting sqref="E11:E19">
    <x:cfRule type="containsText" dxfId="11" priority="4" operator="containsText" text="P0"/>
  </x:conditionalFormatting>
  <x:dataValidations count="2">
    <x:dataValidation type="list" sqref="I11:I19">
      <x:formula1>"Chưa bắt đầu,Đang làm,Chờ review,Hoàn thành,Bị chặn"</x:formula1>
    </x:dataValidation>
    <x:dataValidation type="decimal" operator="between" sqref="J11:J19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8abcca3b38345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.880000114440918" hidden="0" customWidth="1"/>
    <x:col min="2" max="2" width="15" hidden="0" customWidth="1"/>
    <x:col min="3" max="3" width="38.75" hidden="0" customWidth="1"/>
    <x:col min="4" max="4" width="15.630000114440918" hidden="0" customWidth="1"/>
    <x:col min="5" max="5" width="8.25" hidden="0" customWidth="1"/>
    <x:col min="6" max="6" width="21.8799991607666" hidden="0" customWidth="1"/>
    <x:col min="7" max="7" width="9.130000114440918" hidden="0" customWidth="1"/>
    <x:col min="8" max="8" width="10.380000114440918" hidden="0" customWidth="1"/>
    <x:col min="9" max="9" width="18.75" hidden="0" customWidth="1"/>
    <x:col min="10" max="10" width="13.130000114440918" hidden="0" customWidth="1"/>
    <x:col min="11" max="11" width="53.75" hidden="0" customWidth="1"/>
    <x:col min="12" max="12" width="47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SPRINT 4 — TUẦN 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Từ ngày</x:v>
      </x:c>
      <x:c r="B4" s="5" t="n">
        <x:f>'Tổng quan'!B12</x:f>
        <x:v>46328</x:v>
      </x:c>
      <x:c r="C4" s="2"/>
      <x:c r="D4" s="2" t="str">
        <x:v>Đến ngày</x:v>
      </x:c>
      <x:c r="E4" s="7" t="n">
        <x:f>'Tổng quan'!C12</x:f>
        <x:v>46334</x:v>
      </x:c>
      <x:c r="F4" s="7"/>
      <x:c r="G4" s="2" t="str">
        <x:v>Giờ còn</x:v>
      </x:c>
      <x:c r="H4" s="2" t="n">
        <x:f>SUM(H11:H18)</x:f>
        <x:v>49</x:v>
      </x:c>
      <x:c r="I4" s="2"/>
      <x:c r="J4" s="2" t="str">
        <x:v>P0 chưa xong</x:v>
      </x:c>
      <x:c r="K4" s="8" t="n">
        <x:f>COUNTIFS(E11:E18,"P0",I11:I18,"&lt;&gt;Hoàn thành")</x:f>
        <x:v>2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Mục tiêu: Kiểm thử toàn luồng, sửa lỗi, đóng gói DB/API/FE bằng Compose và diễn tập demo.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Thứ Hai–Tư kiểm thử/sửa lỗi từng module; Thứ Năm chốt Compose/seed; Thứ Sáu demo; cuối tuần dự phòng.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8" t="str">
        <x:v>Theo thứ tự phụ thuộc; có thể code song song sau khi chốt DTO. Ô vàng: trạng thái/ước lượng còn lại. Chỉ đánh dấu xong sau khi đáp ứng tiêu chí.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52" customHeight="1">
      <x:c r="A10" s="18" t="str">
        <x:v>Task ID</x:v>
      </x:c>
      <x:c r="B10" s="19" t="str">
        <x:v>Module</x:v>
      </x:c>
      <x:c r="C10" s="19" t="str">
        <x:v>Công việc</x:v>
      </x:c>
      <x:c r="D10" s="19" t="str">
        <x:v>Phụ trách</x:v>
      </x:c>
      <x:c r="E10" s="19" t="str">
        <x:v>Ưu tiên</x:v>
      </x:c>
      <x:c r="F10" s="19" t="str">
        <x:v>Phụ thuộc</x:v>
      </x:c>
      <x:c r="G10" s="19" t="str">
        <x:v>Giờ gốc</x:v>
      </x:c>
      <x:c r="H10" s="19" t="str">
        <x:v>Còn lại (giờ)</x:v>
      </x:c>
      <x:c r="I10" s="19" t="str">
        <x:v>Trạng thái</x:v>
      </x:c>
      <x:c r="J10" s="19" t="str">
        <x:v>Ước lượng còn (giờ)</x:v>
      </x:c>
      <x:c r="K10" s="19" t="str">
        <x:v>Tiêu chí hoàn thành</x:v>
      </x:c>
      <x:c r="L10" s="20" t="str">
        <x:v>Ghi chú / bàn giao</x:v>
      </x:c>
    </x:row>
    <x:row r="11" ht="64" customHeight="1">
      <x:c r="A11" s="29" t="str">
        <x:v>M1-08</x:v>
      </x:c>
      <x:c r="B11" s="29" t="str">
        <x:v>Tích hợp</x:v>
      </x:c>
      <x:c r="C11" s="29" t="str">
        <x:v>Kiểm thử E2E đặt và tái bán phòng</x:v>
      </x:c>
      <x:c r="D11" s="29" t="str">
        <x:v>Bảo Long</x:v>
      </x:c>
      <x:c r="E11" s="29" t="str">
        <x:v>P0</x:v>
      </x:c>
      <x:c r="F11" s="29" t="str">
        <x:v>M3-06, M3-04, M5-05</x:v>
      </x:c>
      <x:c r="G11" s="33" t="n">
        <x:v>7</x:v>
      </x:c>
      <x:c r="H11" s="33" t="n">
        <x:f>IF(I11="Hoàn thành",0,IF(ISBLANK(J11),G11,J11))</x:f>
        <x:v>7</x:v>
      </x:c>
      <x:c r="I11" s="35" t="str">
        <x:v>Chưa bắt đầu</x:v>
      </x:c>
      <x:c r="J11" s="36"/>
      <x:c r="K11" s="29" t="str">
        <x:v>Demo tìm→giữ→trả tiền→hết lượt ở→phòng lại trống; test staff block.</x:v>
      </x:c>
      <x:c r="L11" s="29" t="str">
        <x:v>Kiểm tra thêm điểm loyalty nếu M1-06 hoàn thành; sửa lỗi P0 trước demo. P0; tất cả thành viên hỗ trợ tái hiện/sửa lỗi module của mình trong tuần cuối.</x:v>
      </x:c>
    </x:row>
    <x:row r="12" ht="64" customHeight="1">
      <x:c r="A12" s="30" t="str">
        <x:v>M1-09</x:v>
      </x:c>
      <x:c r="B12" s="30" t="str">
        <x:v>Bàn giao</x:v>
      </x:c>
      <x:c r="C12" s="30" t="str">
        <x:v>Docker Compose, seed data, README demo</x:v>
      </x:c>
      <x:c r="D12" s="30" t="str">
        <x:v>Bảo Long</x:v>
      </x:c>
      <x:c r="E12" s="30" t="str">
        <x:v>P0</x:v>
      </x:c>
      <x:c r="F12" s="30" t="str">
        <x:v>M1-08</x:v>
      </x:c>
      <x:c r="G12" s="34" t="n">
        <x:v>6</x:v>
      </x:c>
      <x:c r="H12" s="34" t="n">
        <x:f>IF(I12="Hoàn thành",0,IF(ISBLANK(J12),G12,J12))</x:f>
        <x:v>6</x:v>
      </x:c>
      <x:c r="I12" s="35" t="str">
        <x:v>Chưa bắt đầu</x:v>
      </x:c>
      <x:c r="J12" s="36"/>
      <x:c r="K12" s="30" t="str">
        <x:v>Một lệnh dựng DB/backend/frontend; có tài khoản mẫu và kịch bản demo.</x:v>
      </x:c>
      <x:c r="L12" s="30" t="str">
        <x:v>Không đưa secret thật vào repo. P0; một lệnh dựng cả DB/API/FE, tài khoản mẫu và hướng dẫn demo.</x:v>
      </x:c>
    </x:row>
    <x:row r="13" ht="64" customHeight="1">
      <x:c r="A13" s="29" t="str">
        <x:v>M2-08</x:v>
      </x:c>
      <x:c r="B13" s="29" t="str">
        <x:v>Kiểm thử</x:v>
      </x:c>
      <x:c r="C13" s="29" t="str">
        <x:v>Smoke test block phòng theo lịch</x:v>
      </x:c>
      <x:c r="D13" s="29" t="str">
        <x:v>Phước Sang</x:v>
      </x:c>
      <x:c r="E13" s="29" t="str">
        <x:v>P1</x:v>
      </x:c>
      <x:c r="F13" s="29" t="str">
        <x:v>M2-06, M5-05</x:v>
      </x:c>
      <x:c r="G13" s="33" t="n">
        <x:v>5</x:v>
      </x:c>
      <x:c r="H13" s="33" t="n">
        <x:f>IF(I13="Hoàn thành",0,IF(ISBLANK(J13),G13,J13))</x:f>
        <x:v>5</x:v>
      </x:c>
      <x:c r="I13" s="35" t="str">
        <x:v>Chưa bắt đầu</x:v>
      </x:c>
      <x:c r="J13" s="36"/>
      <x:c r="K13" s="29" t="str">
        <x:v>Block/mở phòng đổi kết quả tìm kiếm đúng khoảng; booking cũ không bị mất.</x:v>
      </x:c>
      <x:c r="L13" s="29" t="str">
        <x:v>Kiểm tra khoảng kề nhau và 2 giờ xoay vòng phòng.</x:v>
      </x:c>
    </x:row>
    <x:row r="14" ht="64" customHeight="1">
      <x:c r="A14" s="30" t="str">
        <x:v>M5-06</x:v>
      </x:c>
      <x:c r="B14" s="30" t="str">
        <x:v>Báo cáo</x:v>
      </x:c>
      <x:c r="C14" s="30" t="str">
        <x:v>Dashboard doanh thu và lấp đầy cơ bản</x:v>
      </x:c>
      <x:c r="D14" s="30" t="str">
        <x:v>Thông Đạt</x:v>
      </x:c>
      <x:c r="E14" s="30" t="str">
        <x:v>P1</x:v>
      </x:c>
      <x:c r="F14" s="30" t="str">
        <x:v>M3-04, M4-03</x:v>
      </x:c>
      <x:c r="G14" s="34" t="n">
        <x:v>8</x:v>
      </x:c>
      <x:c r="H14" s="34" t="n">
        <x:f>IF(I14="Hoàn thành",0,IF(ISBLANK(J14),G14,J14))</x:f>
        <x:v>8</x:v>
      </x:c>
      <x:c r="I14" s="35" t="str">
        <x:v>Chưa bắt đầu</x:v>
      </x:c>
      <x:c r="J14" s="36"/>
      <x:c r="K14" s="30" t="str">
        <x:v>Hiện doanh thu đã thanh toán và tỷ lệ lấp đầy theo booking CONFIRMED/COMPLETED.</x:v>
      </x:c>
      <x:c r="L14" s="30" t="str">
        <x:v>Occupancy tính theo phòng khả dụng và số đêm trong kỳ.</x:v>
      </x:c>
    </x:row>
    <x:row r="15" ht="64" customHeight="1">
      <x:c r="A15" s="29" t="str">
        <x:v>M5-07</x:v>
      </x:c>
      <x:c r="B15" s="29" t="str">
        <x:v>Staff/Phòng</x:v>
      </x:c>
      <x:c r="C15" s="29" t="str">
        <x:v>Lịch sử thay đổi RoomBlock</x:v>
      </x:c>
      <x:c r="D15" s="29" t="str">
        <x:v>Thông Đạt</x:v>
      </x:c>
      <x:c r="E15" s="29" t="str">
        <x:v>P1</x:v>
      </x:c>
      <x:c r="F15" s="29" t="str">
        <x:v>M5-05</x:v>
      </x:c>
      <x:c r="G15" s="33" t="n">
        <x:v>6</x:v>
      </x:c>
      <x:c r="H15" s="33" t="n">
        <x:f>IF(I15="Hoàn thành",0,IF(ISBLANK(J15),G15,J15))</x:f>
        <x:v>6</x:v>
      </x:c>
      <x:c r="I15" s="35" t="str">
        <x:v>Chưa bắt đầu</x:v>
      </x:c>
      <x:c r="J15" s="36"/>
      <x:c r="K15" s="29" t="str">
        <x:v>Staff xem ai chặn/mở phòng, khoảng thời gian, lý do và thời điểm sửa.</x:v>
      </x:c>
      <x:c r="L15" s="29" t="str">
        <x:v>Không sửa bản ghi audit đã tạo.</x:v>
      </x:c>
    </x:row>
    <x:row r="16" ht="64" customHeight="1">
      <x:c r="A16" s="30" t="str">
        <x:v>M4-07</x:v>
      </x:c>
      <x:c r="B16" s="30" t="str">
        <x:v>Thông báo</x:v>
      </x:c>
      <x:c r="C16" s="30" t="str">
        <x:v>Email xác nhận và gửi bản kê</x:v>
      </x:c>
      <x:c r="D16" s="30" t="str">
        <x:v>Đình Đạt</x:v>
      </x:c>
      <x:c r="E16" s="30" t="str">
        <x:v>P2</x:v>
      </x:c>
      <x:c r="F16" s="30" t="str">
        <x:v>M4-05, M4-06</x:v>
      </x:c>
      <x:c r="G16" s="34" t="n">
        <x:v>5</x:v>
      </x:c>
      <x:c r="H16" s="34" t="n">
        <x:f>IF(I16="Hoàn thành",0,IF(ISBLANK(J16),G16,J16))</x:f>
        <x:v>5</x:v>
      </x:c>
      <x:c r="I16" s="35" t="str">
        <x:v>Chưa bắt đầu</x:v>
      </x:c>
      <x:c r="J16" s="36"/>
      <x:c r="K16" s="30" t="str">
        <x:v>Gửi mail sau khi booking được xác nhận hoặc tạo PDF; lỗi mail không rollback booking.</x:v>
      </x:c>
      <x:c r="L16" s="30" t="str">
        <x:v>Dùng SMTP sandbox hoặc tài khoản demo, không bắt buộc cho MVP. P2; chỉ làm khi P0/P1 ổn. Lỗi gửi email không rollback booking.</x:v>
      </x:c>
    </x:row>
    <x:row r="17" ht="64" customHeight="1">
      <x:c r="A17" s="29" t="str">
        <x:v>M4-08</x:v>
      </x:c>
      <x:c r="B17" s="29" t="str">
        <x:v>Giá</x:v>
      </x:c>
      <x:c r="C17" s="29" t="str">
        <x:v>Phụ thu cuối tuần tối giản</x:v>
      </x:c>
      <x:c r="D17" s="29" t="str">
        <x:v>Đình Đạt</x:v>
      </x:c>
      <x:c r="E17" s="29" t="str">
        <x:v>P2</x:v>
      </x:c>
      <x:c r="F17" s="29" t="str">
        <x:v>M4-02</x:v>
      </x:c>
      <x:c r="G17" s="33" t="n">
        <x:v>6</x:v>
      </x:c>
      <x:c r="H17" s="33" t="n">
        <x:f>IF(I17="Hoàn thành",0,IF(ISBLANK(J17),G17,J17))</x:f>
        <x:v>6</x:v>
      </x:c>
      <x:c r="I17" s="35" t="str">
        <x:v>Chưa bắt đầu</x:v>
      </x:c>
      <x:c r="J17" s="36"/>
      <x:c r="K17" s="29" t="str">
        <x:v>Giá cuối tuần được cấu hình và hiện đúng trong quote/snapshot.</x:v>
      </x:c>
      <x:c r="L17" s="29" t="str">
        <x:v>Không cần engine ngày lễ/giá động cho mini project. P2; chỉ làm sau nghiệm thu P0/P1 và không sửa giá snapshot cũ.</x:v>
      </x:c>
    </x:row>
    <x:row r="18" ht="64" customHeight="1">
      <x:c r="A18" s="30" t="str">
        <x:v>M5-09</x:v>
      </x:c>
      <x:c r="B18" s="30" t="str">
        <x:v>Báo cáo</x:v>
      </x:c>
      <x:c r="C18" s="30" t="str">
        <x:v>Xuất CSV lịch đặt phòng</x:v>
      </x:c>
      <x:c r="D18" s="30" t="str">
        <x:v>Thông Đạt</x:v>
      </x:c>
      <x:c r="E18" s="30" t="str">
        <x:v>P2</x:v>
      </x:c>
      <x:c r="F18" s="30" t="str">
        <x:v>M5-08</x:v>
      </x:c>
      <x:c r="G18" s="34" t="n">
        <x:v>6</x:v>
      </x:c>
      <x:c r="H18" s="34" t="n">
        <x:f>IF(I18="Hoàn thành",0,IF(ISBLANK(J18),G18,J18))</x:f>
        <x:v>6</x:v>
      </x:c>
      <x:c r="I18" s="35" t="str">
        <x:v>Chưa bắt đầu</x:v>
      </x:c>
      <x:c r="J18" s="36"/>
      <x:c r="K18" s="30" t="str">
        <x:v>Admin tải lịch đặt theo khoảng ngày để đối chiếu với lịch room block.</x:v>
      </x:c>
      <x:c r="L18" s="30" t="str">
        <x:v>Làm sau khi luồng MVP đã ổn định. P2; chỉ làm sau nghiệm thu P0/P1; dữ liệu xuất phải đúng quyền.</x:v>
      </x:c>
    </x:row>
  </x:sheetData>
  <x:mergeCells>
    <x:mergeCell ref="E4:F4"/>
  </x:mergeCells>
  <x:conditionalFormatting sqref="I11:I18">
    <x:cfRule type="containsText" dxfId="12" priority="1" operator="containsText" text="Hoàn thành"/>
    <x:cfRule type="containsText" dxfId="13" priority="2" operator="containsText" text="Bị chặn"/>
    <x:cfRule type="containsText" dxfId="14" priority="3" operator="containsText" text="Chờ review"/>
  </x:conditionalFormatting>
  <x:conditionalFormatting sqref="E11:E18">
    <x:cfRule type="containsText" dxfId="15" priority="4" operator="containsText" text="P0"/>
  </x:conditionalFormatting>
  <x:dataValidations count="2">
    <x:dataValidation type="list" sqref="I11:I18">
      <x:formula1>"Chưa bắt đầu,Đang làm,Chờ review,Hoàn thành,Bị chặn"</x:formula1>
    </x:dataValidation>
    <x:dataValidation type="decimal" operator="between" sqref="J11:J18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b38f44e8894d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33.130001068115234" hidden="0" customWidth="1"/>
    <x:col min="3" max="3" width="13.130000114440918" hidden="0" customWidth="1"/>
    <x:col min="4" max="4" width="43.75" hidden="0" customWidth="1"/>
    <x:col min="5" max="5" width="10.630000114440918" hidden="0" customWidth="1"/>
    <x:col min="6" max="6" width="11.880000114440918" hidden="0" customWidth="1"/>
    <x:col min="7" max="7" width="11.880000114440918" hidden="0" customWidth="1"/>
    <x:col min="8" max="8" width="12.5" hidden="0" customWidth="1"/>
    <x:col min="9" max="9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NHÓM &amp; PHẠM VI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8" t="str">
        <x:v>Thành viên</x:v>
      </x:c>
      <x:c r="B5" s="19" t="str">
        <x:v>Email</x:v>
      </x:c>
      <x:c r="C5" s="19" t="str">
        <x:v>Vai trò</x:v>
      </x:c>
      <x:c r="D5" s="19" t="str">
        <x:v>Phần việc chính</x:v>
      </x:c>
      <x:c r="E5" s="19" t="str">
        <x:v>Số task</x:v>
      </x:c>
      <x:c r="F5" s="19" t="str">
        <x:v>Giờ gốc</x:v>
      </x:c>
      <x:c r="G5" s="19" t="str">
        <x:v>Còn lại (giờ)</x:v>
      </x:c>
      <x:c r="H5" s="19" t="str">
        <x:v>Hoàn thành</x:v>
      </x:c>
      <x:c r="I5" s="20" t="str">
        <x:v>Tên trong lịch</x:v>
      </x:c>
    </x:row>
    <x:row r="6" ht="40" customHeight="1">
      <x:c r="A6" s="26" t="str">
        <x:v>Nguyễn Ngọc Bảo Long</x:v>
      </x:c>
      <x:c r="B6" s="26" t="str">
        <x:v>nguyenngocbaolong1008@gmail.com</x:v>
      </x:c>
      <x:c r="C6" s="26" t="str">
        <x:v>Tech Lead</x:v>
      </x:c>
      <x:c r="D6" s="26" t="str">
        <x:v>Nền tảng, auth, loyalty, tích hợp</x:v>
      </x:c>
      <x:c r="E6" s="38" t="n">
        <x:f>COUNTIFS('Sprint 1'!D11:D26,I6)+COUNTIFS('Sprint 2'!D11:D19,I6)+COUNTIFS('Sprint 3'!D11:D19,I6)+COUNTIFS('Sprint 4'!D11:D18,I6)</x:f>
        <x:v>9</x:v>
      </x:c>
      <x:c r="F6" s="38" t="n">
        <x:f>SUMIFS('Sprint 1'!G11:G26,'Sprint 1'!D11:D26,I6)+SUMIFS('Sprint 2'!G11:G19,'Sprint 2'!D11:D19,I6)+SUMIFS('Sprint 3'!G11:G19,'Sprint 3'!D11:D19,I6)+SUMIFS('Sprint 4'!G11:G18,'Sprint 4'!D11:D18,I6)</x:f>
        <x:v>57</x:v>
      </x:c>
      <x:c r="G6" s="38" t="n">
        <x:f>'Tổng quan'!F18</x:f>
        <x:v>37</x:v>
      </x:c>
      <x:c r="H6" s="38" t="n">
        <x:f>E6-'Tổng quan'!G18</x:f>
        <x:v>3</x:v>
      </x:c>
      <x:c r="I6" s="26" t="str">
        <x:v>Bảo Long</x:v>
      </x:c>
    </x:row>
    <x:row r="7" ht="40" customHeight="1">
      <x:c r="A7" s="21" t="str">
        <x:v>Lê Phước Sang</x:v>
      </x:c>
      <x:c r="B7" s="21" t="str">
        <x:v>sangle20050618@gmail.com</x:v>
      </x:c>
      <x:c r="C7" s="21" t="str">
        <x:v>Member 2</x:v>
      </x:c>
      <x:c r="D7" s="21" t="str">
        <x:v>Phòng, RoomBlock, truy vấn availability</x:v>
      </x:c>
      <x:c r="E7" s="37" t="n">
        <x:f>COUNTIFS('Sprint 1'!D11:D26,I7)+COUNTIFS('Sprint 2'!D11:D19,I7)+COUNTIFS('Sprint 3'!D11:D19,I7)+COUNTIFS('Sprint 4'!D11:D18,I7)</x:f>
        <x:v>8</x:v>
      </x:c>
      <x:c r="F7" s="37" t="n">
        <x:f>SUMIFS('Sprint 1'!G11:G26,'Sprint 1'!D11:D26,I7)+SUMIFS('Sprint 2'!G11:G19,'Sprint 2'!D11:D19,I7)+SUMIFS('Sprint 3'!G11:G19,'Sprint 3'!D11:D19,I7)+SUMIFS('Sprint 4'!G11:G18,'Sprint 4'!D11:D18,I7)</x:f>
        <x:v>49</x:v>
      </x:c>
      <x:c r="G7" s="37" t="n">
        <x:f>'Tổng quan'!F19</x:f>
        <x:v>49</x:v>
      </x:c>
      <x:c r="H7" s="37" t="n">
        <x:f>E7-'Tổng quan'!G19</x:f>
        <x:v>0</x:v>
      </x:c>
      <x:c r="I7" s="21" t="str">
        <x:v>Phước Sang</x:v>
      </x:c>
    </x:row>
    <x:row r="8" ht="40" customHeight="1">
      <x:c r="A8" s="26" t="str">
        <x:v>Phan Thanh Binh</x:v>
      </x:c>
      <x:c r="B8" s="26" t="str">
        <x:v>thanhbinh13405@gmail.com</x:v>
      </x:c>
      <x:c r="C8" s="26" t="str">
        <x:v>Member 3</x:v>
      </x:c>
      <x:c r="D8" s="26" t="str">
        <x:v>Booking, overlap, job hoàn tất lượt ở</x:v>
      </x:c>
      <x:c r="E8" s="38" t="n">
        <x:f>COUNTIFS('Sprint 1'!D11:D26,I8)+COUNTIFS('Sprint 2'!D11:D19,I8)+COUNTIFS('Sprint 3'!D11:D19,I8)+COUNTIFS('Sprint 4'!D11:D18,I8)</x:f>
        <x:v>8</x:v>
      </x:c>
      <x:c r="F8" s="38" t="n">
        <x:f>SUMIFS('Sprint 1'!G11:G26,'Sprint 1'!D11:D26,I8)+SUMIFS('Sprint 2'!G11:G19,'Sprint 2'!D11:D19,I8)+SUMIFS('Sprint 3'!G11:G19,'Sprint 3'!D11:D19,I8)+SUMIFS('Sprint 4'!G11:G18,'Sprint 4'!D11:D18,I8)</x:f>
        <x:v>57</x:v>
      </x:c>
      <x:c r="G8" s="38" t="n">
        <x:f>'Tổng quan'!F20</x:f>
        <x:v>57</x:v>
      </x:c>
      <x:c r="H8" s="38" t="n">
        <x:f>E8-'Tổng quan'!G20</x:f>
        <x:v>0</x:v>
      </x:c>
      <x:c r="I8" s="26" t="str">
        <x:v>Thanh Binh</x:v>
      </x:c>
    </x:row>
    <x:row r="9" ht="40" customHeight="1">
      <x:c r="A9" s="21" t="str">
        <x:v>Nguyễn Đình Đạt</x:v>
      </x:c>
      <x:c r="B9" s="21" t="str">
        <x:v>nguyendinhdat210920@gmail.com</x:v>
      </x:c>
      <x:c r="C9" s="21" t="str">
        <x:v>Member 4</x:v>
      </x:c>
      <x:c r="D9" s="21" t="str">
        <x:v>Giá, thanh toán, PDF/email</x:v>
      </x:c>
      <x:c r="E9" s="37" t="n">
        <x:f>COUNTIFS('Sprint 1'!D11:D26,I9)+COUNTIFS('Sprint 2'!D11:D19,I9)+COUNTIFS('Sprint 3'!D11:D19,I9)+COUNTIFS('Sprint 4'!D11:D18,I9)</x:f>
        <x:v>8</x:v>
      </x:c>
      <x:c r="F9" s="37" t="n">
        <x:f>SUMIFS('Sprint 1'!G11:G26,'Sprint 1'!D11:D26,I9)+SUMIFS('Sprint 2'!G11:G19,'Sprint 2'!D11:D19,I9)+SUMIFS('Sprint 3'!G11:G19,'Sprint 3'!D11:D19,I9)+SUMIFS('Sprint 4'!G11:G18,'Sprint 4'!D11:D18,I9)</x:f>
        <x:v>51</x:v>
      </x:c>
      <x:c r="G9" s="37" t="n">
        <x:f>'Tổng quan'!F21</x:f>
        <x:v>51</x:v>
      </x:c>
      <x:c r="H9" s="37" t="n">
        <x:f>E9-'Tổng quan'!G21</x:f>
        <x:v>0</x:v>
      </x:c>
      <x:c r="I9" s="21" t="str">
        <x:v>Đình Đạt</x:v>
      </x:c>
    </x:row>
    <x:row r="10" ht="40" customHeight="1">
      <x:c r="A10" s="26" t="str">
        <x:v>Hồ Văn Thông Đạt</x:v>
      </x:c>
      <x:c r="B10" s="26" t="str">
        <x:v>hovanthongdat90@gmail.com</x:v>
      </x:c>
      <x:c r="C10" s="26" t="str">
        <x:v>Member 5</x:v>
      </x:c>
      <x:c r="D10" s="26" t="str">
        <x:v>React nền, staff availability UI, dashboard</x:v>
      </x:c>
      <x:c r="E10" s="38" t="n">
        <x:f>COUNTIFS('Sprint 1'!D11:D26,I10)+COUNTIFS('Sprint 2'!D11:D19,I10)+COUNTIFS('Sprint 3'!D11:D19,I10)+COUNTIFS('Sprint 4'!D11:D18,I10)</x:f>
        <x:v>9</x:v>
      </x:c>
      <x:c r="F10" s="38" t="n">
        <x:f>SUMIFS('Sprint 1'!G11:G26,'Sprint 1'!D11:D26,I10)+SUMIFS('Sprint 2'!G11:G19,'Sprint 2'!D11:D19,I10)+SUMIFS('Sprint 3'!G11:G19,'Sprint 3'!D11:D19,I10)+SUMIFS('Sprint 4'!G11:G18,'Sprint 4'!D11:D18,I10)</x:f>
        <x:v>63</x:v>
      </x:c>
      <x:c r="G10" s="38" t="n">
        <x:f>'Tổng quan'!F22</x:f>
        <x:v>53</x:v>
      </x:c>
      <x:c r="H10" s="38" t="n">
        <x:f>E10-'Tổng quan'!G22</x:f>
        <x:v>0</x:v>
      </x:c>
      <x:c r="I10" s="26" t="str">
        <x:v>Thông Đạt</x:v>
      </x:c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3" customHeight="1">
      <x:c r="A13" s="27" t="str">
        <x:v>QUY ƯỚC PHẠM VI &amp; NGHIỆP VỤ</x:v>
      </x:c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37" customHeight="1">
      <x:c r="A15" s="26" t="str">
        <x:v>Phạm vi</x:v>
      </x:c>
      <x:c r="B15" s="26" t="str">
        <x:v>Một khách sạn; khách chọn RoomType, hệ thống tự gán một phòng vật lý khi giữ chỗ. Không có staff check-in/check-out.</x:v>
      </x:c>
      <x:c r="C15" s="26"/>
      <x:c r="D15" s="26"/>
      <x:c r="E15" s="26"/>
      <x:c r="F15" s="26"/>
      <x:c r="G15" s="26"/>
      <x:c r="H15" s="26"/>
      <x:c r="I15" s="26"/>
    </x:row>
    <x:row r="16" ht="37" customHeight="1">
      <x:c r="A16" s="21" t="str">
        <x:v>Ngày giờ ở</x:v>
      </x:c>
      <x:c r="B16" s="21" t="str">
        <x:v>Mặc định nhận phòng 12:00, trả phòng 10:00 ngày cuối; hai booking kề nhau có 2 giờ xoay vòng phòng.</x:v>
      </x:c>
      <x:c r="C16" s="21"/>
      <x:c r="D16" s="21"/>
      <x:c r="E16" s="21"/>
      <x:c r="F16" s="21"/>
      <x:c r="G16" s="21"/>
      <x:c r="H16" s="21"/>
      <x:c r="I16" s="21"/>
    </x:row>
    <x:row r="17" ht="37" customHeight="1">
      <x:c r="A17" s="26" t="str">
        <x:v>Availability</x:v>
      </x:c>
      <x:c r="B17" s="26" t="str">
        <x:v>Phòng trống khi không trùng booking/hold/RoomBlock trong [startAt,endAt). Staff chặn hoặc mở theo khoảng thời gian.</x:v>
      </x:c>
      <x:c r="C17" s="26"/>
      <x:c r="D17" s="26"/>
      <x:c r="E17" s="26"/>
      <x:c r="F17" s="26"/>
      <x:c r="G17" s="26"/>
      <x:c r="H17" s="26"/>
      <x:c r="I17" s="26"/>
    </x:row>
    <x:row r="18" ht="37" customHeight="1">
      <x:c r="A18" s="21" t="str">
        <x:v>Giữ chỗ</x:v>
      </x:c>
      <x:c r="B18" s="21" t="str">
        <x:v>PENDING_PAYMENT giữ một phòng 15 phút; hết hạn tự EXPIRED. Booking đã trả tiền tự COMPLETED sau endAt.</x:v>
      </x:c>
      <x:c r="C18" s="21"/>
      <x:c r="D18" s="21"/>
      <x:c r="E18" s="21"/>
      <x:c r="F18" s="21"/>
      <x:c r="G18" s="21"/>
      <x:c r="H18" s="21"/>
      <x:c r="I18" s="21"/>
    </x:row>
    <x:row r="19" ht="37" customHeight="1">
      <x:c r="A19" s="26" t="str">
        <x:v>Thanh toán</x:v>
      </x:c>
      <x:c r="B19" s="26" t="str">
        <x:v>Thanh toán mô phỏng P0 để demo; VNPay Sandbox P1. Return URL không xác nhận giao dịch.</x:v>
      </x:c>
      <x:c r="C19" s="26"/>
      <x:c r="D19" s="26"/>
      <x:c r="E19" s="26"/>
      <x:c r="F19" s="26"/>
      <x:c r="G19" s="26"/>
      <x:c r="H19" s="26"/>
      <x:c r="I19" s="26"/>
    </x:row>
    <x:row r="20" ht="37" customHeight="1">
      <x:c r="A20" s="21" t="str">
        <x:v>Loyalty</x:v>
      </x:c>
      <x:c r="B20" s="21" t="str">
        <x:v>1 điểm/10.000 VND thực trả sau giảm giá; chỉ cộng một lần khi lượt ở COMPLETED; VIP 10m giảm 10%, Diamond 30m giảm 15%.</x:v>
      </x:c>
      <x:c r="C20" s="21"/>
      <x:c r="D20" s="21"/>
      <x:c r="E20" s="21"/>
      <x:c r="F20" s="21"/>
      <x:c r="G20" s="21"/>
      <x:c r="H20" s="21"/>
      <x:c r="I20" s="21"/>
    </x:row>
    <x:row r="21" ht="37" customHeight="1">
      <x:c r="A21" s="26" t="str">
        <x:v>Giá</x:v>
      </x:c>
      <x:c r="B21" s="26" t="str">
        <x:v>Snapshot giá gốc, tỷ lệ giảm và số phải trả tại lúc đặt; không có folio/phụ thu dịch vụ trong mini project.</x:v>
      </x:c>
      <x:c r="C21" s="26"/>
      <x:c r="D21" s="26"/>
      <x:c r="E21" s="26"/>
      <x:c r="F21" s="26"/>
      <x:c r="G21" s="26"/>
      <x:c r="H21" s="26"/>
      <x:c r="I21" s="26"/>
    </x:row>
    <x:row r="22" ht="37" customHeight="1">
      <x:c r="A22" s="21" t="str">
        <x:v>Ngoài MVP</x:v>
      </x:c>
      <x:c r="B22" s="21" t="str">
        <x:v>Check-in/out thủ công, folio, housekeeping, MoMo, Cloudinary, nhiều phòng/booking, hóa đơn điện tử và RevPAR nâng cao.</x:v>
      </x:c>
      <x:c r="C22" s="21"/>
      <x:c r="D22" s="21"/>
      <x:c r="E22" s="21"/>
      <x:c r="F22" s="21"/>
      <x:c r="G22" s="21"/>
      <x:c r="H22" s="21"/>
      <x:c r="I22" s="21"/>
    </x:row>
    <x:row r="23" ht="37" customHeight="1">
      <x:c r="A23" s="26" t="str">
        <x:v>Ưu tiên</x:v>
      </x:c>
      <x:c r="B23" s="26" t="str">
        <x:v>P0 = bản demo phải chạy; P1 = nghiệp vụ mở rộng; P2 = chỉ làm khi P0/P1 ổn định.</x:v>
      </x:c>
      <x:c r="C23" s="26"/>
      <x:c r="D23" s="26"/>
      <x:c r="E23" s="26"/>
      <x:c r="F23" s="26"/>
      <x:c r="G23" s="26"/>
      <x:c r="H23" s="26"/>
      <x:c r="I23" s="26"/>
    </x:row>
    <x:row r="24" ht="37" customHeight="1">
      <x:c r="A24" s="21" t="str">
        <x:v>Sprint</x:v>
      </x:c>
      <x:c r="B24" s="21" t="str">
        <x:v>4 sprint, mỗi sprint 7 ngày. Lịch tuần được tính từ ngày bắt đầu ở Tổng quan!B4; thứ Sáu nghiệm thu, cuối tuần dự phòng.</x:v>
      </x:c>
      <x:c r="C24" s="21"/>
      <x:c r="D24" s="21"/>
      <x:c r="E24" s="21"/>
      <x:c r="F24" s="21"/>
      <x:c r="G24" s="21"/>
      <x:c r="H24" s="21"/>
      <x:c r="I24" s="21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40" customHeight="1">
      <x:c r="A26" s="21" t="str">
        <x:v>Vai trò tài khoản</x:v>
      </x:c>
      <x:c r="B26" s="21" t="str">
        <x:v>CUSTOMER, STAFF, ADMIN; Guest là người chưa đăng nhập. Guest xem/tìm phòng/quote; tạo hold và thanh toán cần Customer đăng nhập.</x:v>
      </x:c>
      <x:c r="C26" s="21"/>
      <x:c r="D26" s="21"/>
      <x:c r="E26" s="21"/>
      <x:c r="F26" s="21"/>
      <x:c r="G26" s="21"/>
      <x:c r="H26" s="21"/>
      <x:c r="I26" s="2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40" customHeight="1">
      <x:c r="A28" s="21" t="str">
        <x:v>Cập nhật tiến độ</x:v>
      </x:c>
      <x:c r="B28" s="21" t="str">
        <x:v>M1-01–03 xác nhận theo code/CI; M5-01–02 có nền mẫu và chờ nghiệm thu. Task khác giữ trạng thái file gốc, chưa xác minh các nhánh cá nhân.</x:v>
      </x:c>
      <x:c r="C28" s="21"/>
      <x:c r="D28" s="21"/>
      <x:c r="E28" s="21"/>
      <x:c r="F28" s="21"/>
      <x:c r="G28" s="21"/>
      <x:c r="H28" s="21"/>
      <x:c r="I28" s="21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40" customHeight="1">
      <x:c r="A30" s="21" t="str">
        <x:v>Nguồn kế hoạch</x:v>
      </x:c>
      <x:c r="B30" s="21" t="str">
        <x:v>Ke_hoach_PMS_mini_khong_checkin.xlsx, bảng Kế hoạch: 42 task / 277 giờ. Giữ ID, chủ module, mức ưu tiên, phụ thuộc và giờ gốc.</x:v>
      </x:c>
      <x:c r="C30" s="21"/>
      <x:c r="D30" s="21"/>
      <x:c r="E30" s="21"/>
      <x:c r="F30" s="21"/>
      <x:c r="G30" s="21"/>
      <x:c r="H30" s="21"/>
      <x:c r="I30" s="21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40" customHeight="1">
      <x:c r="A32" s="21" t="str">
        <x:v>Lịch &amp; ước lượng</x:v>
      </x:c>
      <x:c r="B32" s="21" t="str">
        <x:v>Ngày bắt đầu ở Tổng quan!B4 theo yêu cầu Bảo Long. Ước lượng còn lại là giờ làm task, chưa gồm họp/review PR/sửa lỗi. Cập nhật ô vàng khi nhóm xác nhận.</x:v>
      </x:c>
      <x:c r="C32" s="21"/>
      <x:c r="D32" s="21"/>
      <x:c r="E32" s="21"/>
      <x:c r="F32" s="21"/>
      <x:c r="G32" s="21"/>
      <x:c r="H32" s="21"/>
      <x:c r="I32" s="21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B15:I15"/>
    <x:mergeCell ref="B16:I16"/>
    <x:mergeCell ref="B17:I17"/>
    <x:mergeCell ref="B18:I18"/>
    <x:mergeCell ref="B19:I19"/>
    <x:mergeCell ref="B20:I20"/>
    <x:mergeCell ref="B21:I21"/>
    <x:mergeCell ref="B22:I22"/>
    <x:mergeCell ref="B23:I23"/>
    <x:mergeCell ref="B24:I24"/>
    <x:mergeCell ref="B26:I26"/>
    <x:mergeCell ref="B28:I28"/>
    <x:mergeCell ref="B30:I30"/>
    <x:mergeCell ref="B32:I32"/>
  </x:mergeCells>
  <x:pageMargins left="0.7" right="0.7" top="0.75" bottom="0.75" header="0.3" footer="0.3"/>
</x:worksheet>
</file>